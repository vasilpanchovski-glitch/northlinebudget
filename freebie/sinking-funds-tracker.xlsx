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tart Here" sheetId="1" state="visible" r:id="rId1"/>
    <sheet xmlns:r="http://schemas.openxmlformats.org/officeDocument/2006/relationships" name="Sinking Funds" sheetId="2" state="visible" r:id="rId2"/>
    <sheet xmlns:r="http://schemas.openxmlformats.org/officeDocument/2006/relationships" name="Fund ideas" sheetId="3" state="visible" r:id="rId3"/>
  </sheets>
  <definedNames/>
  <calcPr calcId="124519" fullCalcOnLoad="1"/>
</workbook>
</file>

<file path=xl/styles.xml><?xml version="1.0" encoding="utf-8"?>
<styleSheet xmlns="http://schemas.openxmlformats.org/spreadsheetml/2006/main">
  <numFmts count="9">
    <numFmt numFmtId="164" formatCode="&quot;  &quot;@"/>
    <numFmt numFmtId="165" formatCode="&quot;  &quot;$#,##0;&quot;  &quot;-$#,##0;&quot;  $0&quot;;&quot;  &quot;@"/>
    <numFmt numFmtId="166" formatCode="&quot;  &quot;0%;&quot;  &quot;0%;&quot;  &quot;0%;&quot;  &quot;@"/>
    <numFmt numFmtId="167" formatCode="$#,##0.00;-$#,##0.00;&quot;&quot;"/>
    <numFmt numFmtId="168" formatCode="mmm d, yyyy"/>
    <numFmt numFmtId="169" formatCode="0;-0;&quot;&quot;"/>
    <numFmt numFmtId="170" formatCode="$#,##0.00&quot;  &quot;;-$#,##0.00&quot;  &quot;;&quot;&quot;"/>
    <numFmt numFmtId="171" formatCode="mmm d, yyyy&quot;  &quot;"/>
    <numFmt numFmtId="172" formatCode="0%&quot;  &quot;"/>
  </numFmts>
  <fonts count="16">
    <font>
      <name val="Calibri"/>
      <family val="2"/>
      <color theme="1"/>
      <sz val="11"/>
      <scheme val="minor"/>
    </font>
    <font>
      <name val="Archivo"/>
      <b val="1"/>
      <color rgb="00FFFFFF"/>
      <sz val="20"/>
    </font>
    <font>
      <name val="Inter"/>
      <color rgb="00BFE3D8"/>
      <sz val="10"/>
    </font>
    <font>
      <name val="Archivo"/>
      <b val="1"/>
      <color rgb="00BFE3D8"/>
      <sz val="10"/>
    </font>
    <font>
      <name val="Inter"/>
      <color rgb="006B7A86"/>
      <sz val="9"/>
    </font>
    <font>
      <name val="Archivo"/>
      <b val="1"/>
      <color rgb="0015212C"/>
      <sz val="18"/>
    </font>
    <font>
      <name val="Inter"/>
      <color rgb="001E6A5B"/>
      <sz val="10"/>
    </font>
    <font>
      <name val="Archivo"/>
      <b val="1"/>
      <color rgb="0015212C"/>
      <sz val="12"/>
    </font>
    <font>
      <name val="Inter"/>
      <color rgb="0015212C"/>
      <sz val="10"/>
    </font>
    <font>
      <name val="Inter"/>
      <b val="1"/>
      <color rgb="0015212C"/>
      <sz val="10"/>
    </font>
    <font>
      <name val="Inter"/>
      <b val="1"/>
      <color rgb="00154C41"/>
      <sz val="9"/>
    </font>
    <font>
      <name val="Inter"/>
      <b val="1"/>
      <color rgb="001E6A5B"/>
      <sz val="9"/>
    </font>
    <font>
      <name val="Inter"/>
      <b val="1"/>
      <color rgb="001E6A5B"/>
      <sz val="10"/>
    </font>
    <font>
      <name val="Archivo"/>
      <b val="1"/>
      <color rgb="00FFFFFF"/>
      <sz val="11"/>
    </font>
    <font>
      <name val="Inter"/>
      <color rgb="0015212C"/>
      <sz val="10.5"/>
    </font>
    <font>
      <name val="Inter"/>
      <b val="1"/>
      <color rgb="001E6A5B"/>
      <sz val="14"/>
    </font>
  </fonts>
  <fills count="7">
    <fill>
      <patternFill/>
    </fill>
    <fill>
      <patternFill patternType="gray125"/>
    </fill>
    <fill>
      <patternFill patternType="solid">
        <fgColor rgb="00F2F5F4"/>
      </patternFill>
    </fill>
    <fill>
      <patternFill patternType="solid">
        <fgColor rgb="001E6A5B"/>
      </patternFill>
    </fill>
    <fill>
      <patternFill patternType="solid">
        <fgColor rgb="00FFFFFF"/>
      </patternFill>
    </fill>
    <fill>
      <patternFill patternType="solid">
        <fgColor rgb="00F1F8F5"/>
      </patternFill>
    </fill>
    <fill>
      <patternFill patternType="solid">
        <fgColor rgb="00E9F5F0"/>
      </patternFill>
    </fill>
  </fills>
  <borders count="24">
    <border>
      <left/>
      <right/>
      <top/>
      <bottom/>
      <diagonal/>
    </border>
    <border>
      <left style="thin">
        <color rgb="00E1E7E5"/>
      </left>
      <top style="thin">
        <color rgb="00E1E7E5"/>
      </top>
    </border>
    <border>
      <right style="thin">
        <color rgb="00E1E7E5"/>
      </right>
      <top style="thin">
        <color rgb="00E1E7E5"/>
      </top>
    </border>
    <border>
      <left style="thin">
        <color rgb="00E1E7E5"/>
      </left>
    </border>
    <border>
      <right style="thin">
        <color rgb="00E1E7E5"/>
      </right>
    </border>
    <border>
      <left style="thin">
        <color rgb="00E1E7E5"/>
      </left>
      <bottom style="thin">
        <color rgb="00E1E7E5"/>
      </bottom>
    </border>
    <border>
      <right style="thin">
        <color rgb="00E1E7E5"/>
      </right>
      <bottom style="thin">
        <color rgb="00E1E7E5"/>
      </bottom>
    </border>
    <border>
      <top style="thin">
        <color rgb="00E1E7E5"/>
      </top>
    </border>
    <border/>
    <border>
      <bottom style="thin">
        <color rgb="00E1E7E5"/>
      </bottom>
    </border>
    <border>
      <left style="thin">
        <color rgb="00E1E7E5"/>
      </left>
      <right/>
      <top style="thin">
        <color rgb="00E1E7E5"/>
      </top>
      <bottom/>
    </border>
    <border>
      <left/>
      <right/>
      <top style="thin">
        <color rgb="00E1E7E5"/>
      </top>
      <bottom/>
    </border>
    <border>
      <left/>
      <right style="thin">
        <color rgb="00E1E7E5"/>
      </right>
      <top style="thin">
        <color rgb="00E1E7E5"/>
      </top>
      <bottom/>
    </border>
    <border>
      <left style="thin">
        <color rgb="00E1E7E5"/>
      </left>
      <right/>
      <top/>
      <bottom style="thin">
        <color rgb="00E1E7E5"/>
      </bottom>
    </border>
    <border>
      <left/>
      <right/>
      <top/>
      <bottom style="thin">
        <color rgb="00E1E7E5"/>
      </bottom>
    </border>
    <border>
      <left/>
      <right style="thin">
        <color rgb="00E1E7E5"/>
      </right>
      <top/>
      <bottom style="thin">
        <color rgb="00E1E7E5"/>
      </bottom>
    </border>
    <border>
      <left style="thin">
        <color rgb="00E1E7E5"/>
      </left>
      <right/>
      <top/>
      <bottom/>
    </border>
    <border>
      <left/>
      <right/>
      <top/>
      <bottom/>
    </border>
    <border>
      <left/>
      <right style="thin">
        <color rgb="00E1E7E5"/>
      </right>
      <top/>
      <bottom/>
    </border>
    <border>
      <bottom style="thin">
        <color rgb="00FFFFFF"/>
      </bottom>
    </border>
    <border>
      <left style="thin">
        <color rgb="00E1E7E5"/>
      </left>
      <bottom style="thin">
        <color rgb="00FFFFFF"/>
      </bottom>
    </border>
    <border>
      <left style="thin">
        <color rgb="00E1E7E5"/>
      </left>
      <right style="thin">
        <color rgb="00E1E7E5"/>
      </right>
      <top style="thin">
        <color rgb="00E1E7E5"/>
      </top>
      <bottom/>
    </border>
    <border>
      <left style="thin">
        <color rgb="00E1E7E5"/>
      </left>
      <right style="thin">
        <color rgb="00E1E7E5"/>
      </right>
      <top/>
      <bottom/>
    </border>
    <border>
      <left style="thin">
        <color rgb="00E1E7E5"/>
      </left>
      <right style="thin">
        <color rgb="00E1E7E5"/>
      </right>
      <top/>
      <bottom style="thin">
        <color rgb="00E1E7E5"/>
      </bottom>
    </border>
  </borders>
  <cellStyleXfs count="1">
    <xf numFmtId="0" fontId="0" fillId="0" borderId="0"/>
  </cellStyleXfs>
  <cellXfs count="68">
    <xf numFmtId="0" fontId="0" fillId="0" borderId="0" pivotButton="0" quotePrefix="0" xfId="0"/>
    <xf numFmtId="0" fontId="0" fillId="3" borderId="0" pivotButton="0" quotePrefix="0" xfId="0"/>
    <xf numFmtId="0" fontId="1" fillId="3" borderId="0" applyAlignment="1" pivotButton="0" quotePrefix="0" xfId="0">
      <alignment vertical="center"/>
    </xf>
    <xf numFmtId="0" fontId="3" fillId="3" borderId="0" applyAlignment="1" pivotButton="0" quotePrefix="0" xfId="0">
      <alignment horizontal="right" vertical="center"/>
    </xf>
    <xf numFmtId="0" fontId="2" fillId="3" borderId="0" applyAlignment="1" pivotButton="0" quotePrefix="0" xfId="0">
      <alignment vertical="center"/>
    </xf>
    <xf numFmtId="0" fontId="0" fillId="2" borderId="0" pivotButton="0" quotePrefix="0" xfId="0"/>
    <xf numFmtId="164" fontId="7" fillId="4" borderId="10" applyAlignment="1" pivotButton="0" quotePrefix="0" xfId="0">
      <alignment vertical="center"/>
    </xf>
    <xf numFmtId="0" fontId="0" fillId="4" borderId="12" pivotButton="0" quotePrefix="0" xfId="0"/>
    <xf numFmtId="0" fontId="0" fillId="4" borderId="21" pivotButton="0" quotePrefix="0" xfId="0"/>
    <xf numFmtId="0" fontId="13" fillId="3" borderId="20" applyAlignment="1" pivotButton="0" quotePrefix="0" xfId="0">
      <alignment horizontal="center" vertical="center"/>
    </xf>
    <xf numFmtId="0" fontId="14" fillId="4" borderId="6" applyAlignment="1" pivotButton="0" quotePrefix="0" xfId="0">
      <alignment vertical="center" wrapText="1"/>
    </xf>
    <xf numFmtId="0" fontId="0" fillId="4" borderId="22" pivotButton="0" quotePrefix="0" xfId="0"/>
    <xf numFmtId="0" fontId="0" fillId="4" borderId="13" pivotButton="0" quotePrefix="0" xfId="0"/>
    <xf numFmtId="0" fontId="0" fillId="4" borderId="15" pivotButton="0" quotePrefix="0" xfId="0"/>
    <xf numFmtId="0" fontId="0" fillId="4" borderId="23" pivotButton="0" quotePrefix="0" xfId="0"/>
    <xf numFmtId="164" fontId="7" fillId="4" borderId="21" applyAlignment="1" pivotButton="0" quotePrefix="0" xfId="0">
      <alignment vertical="center"/>
    </xf>
    <xf numFmtId="0" fontId="15" fillId="4" borderId="16" applyAlignment="1" pivotButton="0" quotePrefix="0" xfId="0">
      <alignment horizontal="center" vertical="center"/>
    </xf>
    <xf numFmtId="0" fontId="8" fillId="4" borderId="18" applyAlignment="1" pivotButton="0" quotePrefix="0" xfId="0">
      <alignment vertical="center" wrapText="1"/>
    </xf>
    <xf numFmtId="0" fontId="9" fillId="4" borderId="22" pivotButton="0" quotePrefix="0" xfId="0"/>
    <xf numFmtId="0" fontId="4" fillId="4" borderId="22" pivotButton="0" quotePrefix="0" xfId="0"/>
    <xf numFmtId="0" fontId="0" fillId="4" borderId="16" pivotButton="0" quotePrefix="0" xfId="0"/>
    <xf numFmtId="0" fontId="12" fillId="4" borderId="18" pivotButton="0" quotePrefix="0" xfId="0"/>
    <xf numFmtId="0" fontId="4" fillId="2" borderId="0" pivotButton="0" quotePrefix="0" xfId="0"/>
    <xf numFmtId="164" fontId="4" fillId="4" borderId="1" applyAlignment="1" pivotButton="0" quotePrefix="0" xfId="0">
      <alignment vertical="bottom"/>
    </xf>
    <xf numFmtId="0" fontId="0" fillId="4" borderId="2" pivotButton="0" quotePrefix="0" xfId="0"/>
    <xf numFmtId="0" fontId="0" fillId="4" borderId="7" pivotButton="0" quotePrefix="0" xfId="0"/>
    <xf numFmtId="165" fontId="5" fillId="4" borderId="3" applyAlignment="1" pivotButton="0" quotePrefix="0" xfId="0">
      <alignment horizontal="left" vertical="center"/>
    </xf>
    <xf numFmtId="0" fontId="0" fillId="4" borderId="4" pivotButton="0" quotePrefix="0" xfId="0"/>
    <xf numFmtId="0" fontId="0" fillId="4" borderId="8" pivotButton="0" quotePrefix="0" xfId="0"/>
    <xf numFmtId="166" fontId="5" fillId="4" borderId="3" applyAlignment="1" pivotButton="0" quotePrefix="0" xfId="0">
      <alignment horizontal="left" vertical="center"/>
    </xf>
    <xf numFmtId="164" fontId="4" fillId="4" borderId="5" applyAlignment="1" pivotButton="0" quotePrefix="0" xfId="0">
      <alignment vertical="top"/>
    </xf>
    <xf numFmtId="0" fontId="0" fillId="4" borderId="6" pivotButton="0" quotePrefix="0" xfId="0"/>
    <xf numFmtId="0" fontId="0" fillId="4" borderId="9" pivotButton="0" quotePrefix="0" xfId="0"/>
    <xf numFmtId="164" fontId="6" fillId="4" borderId="5" applyAlignment="1" pivotButton="0" quotePrefix="0" xfId="0">
      <alignment vertical="top"/>
    </xf>
    <xf numFmtId="0" fontId="0" fillId="4" borderId="11" pivotButton="0" quotePrefix="0" xfId="0"/>
    <xf numFmtId="0" fontId="8" fillId="4" borderId="5" applyAlignment="1" pivotButton="0" quotePrefix="0" xfId="0">
      <alignment vertical="center"/>
    </xf>
    <xf numFmtId="0" fontId="9" fillId="5" borderId="9" applyAlignment="1" applyProtection="1" pivotButton="0" quotePrefix="0" xfId="0">
      <alignment vertical="center"/>
      <protection locked="0" hidden="0"/>
    </xf>
    <xf numFmtId="0" fontId="0" fillId="0" borderId="9" applyProtection="1" pivotButton="0" quotePrefix="0" xfId="0">
      <protection locked="0" hidden="0"/>
    </xf>
    <xf numFmtId="0" fontId="4" fillId="4" borderId="9" applyAlignment="1" pivotButton="0" quotePrefix="0" xfId="0">
      <alignment vertical="center"/>
    </xf>
    <xf numFmtId="0" fontId="0" fillId="4" borderId="14" pivotButton="0" quotePrefix="0" xfId="0"/>
    <xf numFmtId="164" fontId="4" fillId="4" borderId="11" applyAlignment="1" pivotButton="0" quotePrefix="0" xfId="0">
      <alignment vertical="center"/>
    </xf>
    <xf numFmtId="164" fontId="10" fillId="6" borderId="16" applyAlignment="1" pivotButton="0" quotePrefix="0" xfId="0">
      <alignment vertical="center" wrapText="1"/>
    </xf>
    <xf numFmtId="164" fontId="10" fillId="6" borderId="17" applyAlignment="1" pivotButton="0" quotePrefix="0" xfId="0">
      <alignment vertical="center" wrapText="1"/>
    </xf>
    <xf numFmtId="0" fontId="10" fillId="6" borderId="17" applyAlignment="1" pivotButton="0" quotePrefix="0" xfId="0">
      <alignment horizontal="center" vertical="center" wrapText="1"/>
    </xf>
    <xf numFmtId="0" fontId="10" fillId="6" borderId="18" applyAlignment="1" pivotButton="0" quotePrefix="0" xfId="0">
      <alignment horizontal="center" vertical="center" wrapText="1"/>
    </xf>
    <xf numFmtId="164" fontId="8" fillId="5" borderId="5" applyAlignment="1" applyProtection="1" pivotButton="0" quotePrefix="0" xfId="0">
      <alignment vertical="center"/>
      <protection locked="0" hidden="0"/>
    </xf>
    <xf numFmtId="170" fontId="8" fillId="5" borderId="9" applyAlignment="1" applyProtection="1" pivotButton="0" quotePrefix="0" xfId="0">
      <alignment vertical="center"/>
      <protection locked="0" hidden="0"/>
    </xf>
    <xf numFmtId="171" fontId="8" fillId="5" borderId="9" applyAlignment="1" applyProtection="1" pivotButton="0" quotePrefix="0" xfId="0">
      <alignment vertical="center"/>
      <protection locked="0" hidden="0"/>
    </xf>
    <xf numFmtId="170" fontId="8" fillId="4" borderId="9" applyAlignment="1" pivotButton="0" quotePrefix="0" xfId="0">
      <alignment horizontal="right" vertical="center"/>
    </xf>
    <xf numFmtId="169" fontId="8" fillId="4" borderId="9" applyAlignment="1" pivotButton="0" quotePrefix="0" xfId="0">
      <alignment horizontal="center" vertical="center"/>
    </xf>
    <xf numFmtId="0" fontId="6" fillId="4" borderId="9" applyAlignment="1" pivotButton="0" quotePrefix="0" xfId="0">
      <alignment vertical="center"/>
    </xf>
    <xf numFmtId="172" fontId="11" fillId="4" borderId="6" applyAlignment="1" pivotButton="0" quotePrefix="0" xfId="0">
      <alignment horizontal="right" vertical="center"/>
    </xf>
    <xf numFmtId="164" fontId="9" fillId="6" borderId="13" pivotButton="0" quotePrefix="0" xfId="0"/>
    <xf numFmtId="170" fontId="9" fillId="6" borderId="14" pivotButton="0" quotePrefix="0" xfId="0"/>
    <xf numFmtId="167" fontId="9" fillId="6" borderId="14" pivotButton="0" quotePrefix="0" xfId="0"/>
    <xf numFmtId="170" fontId="9" fillId="6" borderId="15" pivotButton="0" quotePrefix="0" xfId="0"/>
    <xf numFmtId="0" fontId="8" fillId="4" borderId="16" applyAlignment="1" pivotButton="0" quotePrefix="0" xfId="0">
      <alignment vertical="center" wrapText="1"/>
    </xf>
    <xf numFmtId="0" fontId="0" fillId="0" borderId="17" pivotButton="0" quotePrefix="0" xfId="0"/>
    <xf numFmtId="0" fontId="0" fillId="0" borderId="18" pivotButton="0" quotePrefix="0" xfId="0"/>
    <xf numFmtId="0" fontId="12" fillId="4" borderId="16" applyAlignment="1" pivotButton="0" quotePrefix="0" xfId="0">
      <alignment vertical="center"/>
    </xf>
    <xf numFmtId="0" fontId="0" fillId="4" borderId="17" pivotButton="0" quotePrefix="0" xfId="0"/>
    <xf numFmtId="0" fontId="0" fillId="4" borderId="18" pivotButton="0" quotePrefix="0" xfId="0"/>
    <xf numFmtId="0" fontId="4" fillId="4" borderId="12" applyAlignment="1" pivotButton="0" quotePrefix="0" xfId="0">
      <alignment vertical="center"/>
    </xf>
    <xf numFmtId="164" fontId="8" fillId="4" borderId="5" applyAlignment="1" pivotButton="0" quotePrefix="0" xfId="0">
      <alignment vertical="center"/>
    </xf>
    <xf numFmtId="164" fontId="8" fillId="0" borderId="5" applyAlignment="1" pivotButton="0" quotePrefix="0" xfId="0">
      <alignment vertical="center"/>
    </xf>
    <xf numFmtId="0" fontId="0" fillId="0" borderId="6" pivotButton="0" quotePrefix="0" xfId="0"/>
    <xf numFmtId="0" fontId="0" fillId="0" borderId="13" pivotButton="0" quotePrefix="0" xfId="0"/>
    <xf numFmtId="0" fontId="0" fillId="0" borderId="1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552450</colOff>
      <row>5</row>
      <rowOff>171450</rowOff>
    </from>
    <ext cx="1257300" cy="1257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E6A5B"/>
    <outlinePr summaryBelow="1" summaryRight="1"/>
    <pageSetUpPr fitToPage="1"/>
  </sheetPr>
  <dimension ref="A1:F30"/>
  <sheetViews>
    <sheetView showGridLines="0" zoomScale="100" workbookViewId="0">
      <selection activeCell="A1" sqref="A1"/>
    </sheetView>
  </sheetViews>
  <sheetFormatPr baseColWidth="8" defaultRowHeight="15"/>
  <cols>
    <col width="2.5" customWidth="1" min="1" max="1"/>
    <col width="6" customWidth="1" min="2" max="2"/>
    <col width="92" customWidth="1" min="3" max="3"/>
    <col width="2.5" customWidth="1" min="4" max="4"/>
    <col width="34" customWidth="1" min="5" max="5"/>
    <col width="2.5" customWidth="1" min="6" max="6"/>
  </cols>
  <sheetData>
    <row r="1" ht="10" customHeight="1">
      <c r="A1" s="1" t="n"/>
      <c r="B1" s="1" t="n"/>
      <c r="C1" s="1" t="n"/>
      <c r="D1" s="1" t="n"/>
      <c r="E1" s="1" t="n"/>
      <c r="F1" s="1" t="n"/>
    </row>
    <row r="2" ht="30" customHeight="1">
      <c r="A2" s="1" t="n"/>
      <c r="B2" s="2" t="inlineStr">
        <is>
          <t>Your free Sinking Funds Tracker</t>
        </is>
      </c>
      <c r="C2" s="1" t="n"/>
      <c r="D2" s="1" t="n"/>
      <c r="E2" s="3" t="inlineStr">
        <is>
          <t>Northline Budget</t>
        </is>
      </c>
      <c r="F2" s="1" t="n"/>
    </row>
    <row r="3" ht="19" customHeight="1">
      <c r="A3" s="1" t="n"/>
      <c r="B3" s="4" t="inlineStr">
        <is>
          <t>From Northline Budget. Save a little every paycheck, so big costs stop being surprises.</t>
        </is>
      </c>
      <c r="C3" s="1" t="n"/>
      <c r="D3" s="1" t="n"/>
      <c r="E3" s="1" t="n"/>
      <c r="F3" s="1" t="n"/>
    </row>
    <row r="4" ht="11" customHeight="1">
      <c r="A4" s="1" t="n"/>
      <c r="B4" s="1" t="n"/>
      <c r="C4" s="1" t="n"/>
      <c r="D4" s="1" t="n"/>
      <c r="E4" s="1" t="n"/>
      <c r="F4" s="1" t="n"/>
    </row>
    <row r="5" ht="12" customHeight="1">
      <c r="A5" s="5" t="n"/>
      <c r="B5" s="5" t="n"/>
      <c r="C5" s="5" t="n"/>
      <c r="D5" s="5" t="n"/>
      <c r="E5" s="5" t="n"/>
      <c r="F5" s="5" t="n"/>
    </row>
    <row r="6" ht="30" customHeight="1">
      <c r="A6" s="5" t="n"/>
      <c r="B6" s="6" t="inlineStr">
        <is>
          <t>Start in 5 minutes</t>
        </is>
      </c>
      <c r="C6" s="7" t="n"/>
      <c r="D6" s="5" t="n"/>
      <c r="E6" s="8" t="n"/>
      <c r="F6" s="5" t="n"/>
    </row>
    <row r="7" ht="30" customHeight="1">
      <c r="A7" s="5" t="n"/>
      <c r="B7" s="9" t="n">
        <v>1</v>
      </c>
      <c r="C7" s="10" t="inlineStr">
        <is>
          <t>On the Sinking Funds tab, pick how often you're paid.</t>
        </is>
      </c>
      <c r="D7" s="5" t="n"/>
      <c r="E7" s="11" t="n"/>
      <c r="F7" s="5" t="n"/>
    </row>
    <row r="8" ht="30" customHeight="1">
      <c r="A8" s="5" t="n"/>
      <c r="B8" s="9" t="n">
        <v>2</v>
      </c>
      <c r="C8" s="10" t="inlineStr">
        <is>
          <t>Type over the three examples: what you're saving for, the goal, the date you need it, and what you've saved so far.</t>
        </is>
      </c>
      <c r="D8" s="5" t="n"/>
      <c r="E8" s="11" t="n"/>
      <c r="F8" s="5" t="n"/>
    </row>
    <row r="9" ht="30" customHeight="1">
      <c r="A9" s="5" t="n"/>
      <c r="B9" s="9" t="n">
        <v>3</v>
      </c>
      <c r="C9" s="10" t="inlineStr">
        <is>
          <t>The sheet shows what to set aside each month and each paycheck. Update Saved so far on payday and watch the bars fill up.</t>
        </is>
      </c>
      <c r="D9" s="5" t="n"/>
      <c r="E9" s="11" t="n"/>
      <c r="F9" s="5" t="n"/>
    </row>
    <row r="10" ht="30" customHeight="1">
      <c r="A10" s="5" t="n"/>
      <c r="B10" s="9" t="n">
        <v>4</v>
      </c>
      <c r="C10" s="10" t="inlineStr">
        <is>
          <t>Not sure what to save for? The Fund ideas tab has 25 ideas.</t>
        </is>
      </c>
      <c r="D10" s="5" t="n"/>
      <c r="E10" s="11" t="n"/>
      <c r="F10" s="5" t="n"/>
    </row>
    <row r="11" ht="12" customHeight="1">
      <c r="A11" s="5" t="n"/>
      <c r="B11" s="12" t="n"/>
      <c r="C11" s="13" t="n"/>
      <c r="D11" s="5" t="n"/>
      <c r="E11" s="14" t="n"/>
      <c r="F11" s="5" t="n"/>
    </row>
    <row r="12">
      <c r="A12" s="5" t="n"/>
      <c r="B12" s="5" t="n"/>
      <c r="C12" s="5" t="n"/>
      <c r="D12" s="5" t="n"/>
      <c r="E12" s="5" t="n"/>
      <c r="F12" s="5" t="n"/>
    </row>
    <row r="13" ht="30" customHeight="1">
      <c r="A13" s="5" t="n"/>
      <c r="B13" s="6" t="inlineStr">
        <is>
          <t>Good to know</t>
        </is>
      </c>
      <c r="C13" s="7" t="n"/>
      <c r="D13" s="5" t="n"/>
      <c r="E13" s="15" t="inlineStr">
        <is>
          <t>Need help?</t>
        </is>
      </c>
      <c r="F13" s="5" t="n"/>
    </row>
    <row r="14" ht="24" customHeight="1">
      <c r="A14" s="5" t="n"/>
      <c r="B14" s="16" t="inlineStr">
        <is>
          <t>•</t>
        </is>
      </c>
      <c r="C14" s="17" t="inlineStr">
        <is>
          <t>Light green cells are yours to type in. Everything else updates on its own.</t>
        </is>
      </c>
      <c r="D14" s="5" t="n"/>
      <c r="E14" s="18" t="inlineStr">
        <is>
          <t>Email northlinebudget@gmail.com</t>
        </is>
      </c>
      <c r="F14" s="5" t="n"/>
    </row>
    <row r="15" ht="24" customHeight="1">
      <c r="A15" s="5" t="n"/>
      <c r="B15" s="16" t="inlineStr">
        <is>
          <t>•</t>
        </is>
      </c>
      <c r="C15" s="17" t="inlineStr">
        <is>
          <t>Months left counts from today, so the per-paycheck amount stays right as time goes by.</t>
        </is>
      </c>
      <c r="D15" s="5" t="n"/>
      <c r="E15" s="19" t="inlineStr">
        <is>
          <t>You'll get a reply within 24 hours.</t>
        </is>
      </c>
      <c r="F15" s="5" t="n"/>
    </row>
    <row r="16" ht="24" customHeight="1">
      <c r="A16" s="5" t="n"/>
      <c r="B16" s="16" t="inlineStr">
        <is>
          <t>•</t>
        </is>
      </c>
      <c r="C16" s="17" t="inlineStr">
        <is>
          <t>Delete a row's text to remove a fund. You have room for 20 funds.</t>
        </is>
      </c>
      <c r="D16" s="5" t="n"/>
      <c r="E16" s="11" t="n"/>
      <c r="F16" s="5" t="n"/>
    </row>
    <row r="17" ht="12" customHeight="1">
      <c r="A17" s="5" t="n"/>
      <c r="B17" s="12" t="n"/>
      <c r="C17" s="13" t="n"/>
      <c r="D17" s="5" t="n"/>
      <c r="E17" s="14" t="n"/>
      <c r="F17" s="5" t="n"/>
    </row>
    <row r="18">
      <c r="A18" s="5" t="n"/>
      <c r="B18" s="5" t="n"/>
      <c r="C18" s="5" t="n"/>
      <c r="D18" s="5" t="n"/>
      <c r="E18" s="5" t="n"/>
      <c r="F18" s="5" t="n"/>
    </row>
    <row r="19" ht="30" customHeight="1">
      <c r="A19" s="5" t="n"/>
      <c r="B19" s="6" t="inlineStr">
        <is>
          <t>Plan every paycheck, not just savings</t>
        </is>
      </c>
      <c r="C19" s="7" t="n"/>
      <c r="D19" s="5" t="n"/>
      <c r="E19" s="5" t="n"/>
      <c r="F19" s="5" t="n"/>
    </row>
    <row r="20" ht="46" customHeight="1">
      <c r="A20" s="5" t="n"/>
      <c r="B20" s="20" t="n"/>
      <c r="C20" s="17" t="inlineStr">
        <is>
          <t>The Northline Paycheck Budget Spreadsheet lists every payday of the year, matches each bill to the last paycheck before it's due, and shows what's left to spend. Debt payoff, bills, spending log and a dashboard included. Google Sheets and Excel, pay once.</t>
        </is>
      </c>
      <c r="D20" s="5" t="n"/>
      <c r="E20" s="5" t="n"/>
      <c r="F20" s="5" t="n"/>
    </row>
    <row r="21" ht="24" customHeight="1">
      <c r="A21" s="5" t="n"/>
      <c r="B21" s="20" t="n"/>
      <c r="C21" s="21">
        <f>HYPERLINK("https://northlinebudget.gumroad.com/l/paycheck-budget?utm_source=freebie&amp;utm_medium=sheet&amp;utm_campaign=sinking-funds","See the Paycheck Budget Spreadsheet")</f>
        <v/>
      </c>
      <c r="D21" s="5" t="n"/>
      <c r="E21" s="5" t="n"/>
      <c r="F21" s="5" t="n"/>
    </row>
    <row r="22" ht="8" customHeight="1">
      <c r="A22" s="5" t="n"/>
      <c r="B22" s="12" t="n"/>
      <c r="C22" s="13" t="n"/>
      <c r="D22" s="5" t="n"/>
      <c r="E22" s="5" t="n"/>
      <c r="F22" s="5" t="n"/>
    </row>
    <row r="23">
      <c r="A23" s="5" t="n"/>
      <c r="B23" s="5" t="n"/>
      <c r="C23" s="5" t="n"/>
      <c r="D23" s="5" t="n"/>
      <c r="E23" s="5" t="n"/>
      <c r="F23" s="5" t="n"/>
    </row>
    <row r="24">
      <c r="A24" s="5" t="n"/>
      <c r="B24" s="5" t="n"/>
      <c r="C24" s="22" t="inlineStr">
        <is>
          <t>Budget organizer, not financial advice. Free for your own household: please don't resell this file.</t>
        </is>
      </c>
      <c r="D24" s="5" t="n"/>
      <c r="E24" s="5" t="n"/>
      <c r="F24" s="5" t="n"/>
    </row>
    <row r="25">
      <c r="A25" s="5" t="n"/>
      <c r="B25" s="5" t="n"/>
      <c r="C25" s="22" t="inlineStr">
        <is>
          <t>© 2026 Northline Budget</t>
        </is>
      </c>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tabColor rgb="001E6A5B"/>
    <outlinePr summaryBelow="1" summaryRight="1"/>
    <pageSetUpPr fitToPage="1"/>
  </sheetPr>
  <dimension ref="A1:N45"/>
  <sheetViews>
    <sheetView showGridLines="0" zoomScale="100" workbookViewId="0">
      <selection activeCell="A1" sqref="A1"/>
    </sheetView>
  </sheetViews>
  <sheetFormatPr baseColWidth="8" defaultRowHeight="15"/>
  <cols>
    <col width="2.5" customWidth="1" min="1" max="1"/>
    <col width="28" customWidth="1" min="2" max="2"/>
    <col width="13" customWidth="1" min="3" max="3"/>
    <col width="15" customWidth="1" min="4" max="4"/>
    <col width="14" customWidth="1" min="5" max="5"/>
    <col width="14" customWidth="1" min="6" max="6"/>
    <col width="10" customWidth="1" min="7" max="7"/>
    <col width="15" customWidth="1" min="8" max="8"/>
    <col width="15" customWidth="1" min="9" max="9"/>
    <col width="18" customWidth="1" min="10" max="10"/>
    <col width="8" customWidth="1" min="11" max="11"/>
    <col width="2.5" customWidth="1" min="12" max="12"/>
    <col hidden="1" width="13" customWidth="1" min="13" max="13"/>
    <col hidden="1" width="13" customWidth="1" min="14" max="14"/>
  </cols>
  <sheetData>
    <row r="1" ht="10" customHeight="1">
      <c r="A1" s="1" t="n"/>
      <c r="B1" s="1" t="n"/>
      <c r="C1" s="1" t="n"/>
      <c r="D1" s="1" t="n"/>
      <c r="E1" s="1" t="n"/>
      <c r="F1" s="1" t="n"/>
      <c r="G1" s="1" t="n"/>
      <c r="H1" s="1" t="n"/>
      <c r="I1" s="1" t="n"/>
      <c r="J1" s="1" t="n"/>
      <c r="K1" s="1" t="n"/>
      <c r="L1" s="1" t="n"/>
    </row>
    <row r="2" ht="30" customHeight="1">
      <c r="A2" s="1" t="n"/>
      <c r="B2" s="2" t="inlineStr">
        <is>
          <t>Sinking Funds Tracker</t>
        </is>
      </c>
      <c r="C2" s="1" t="n"/>
      <c r="D2" s="1" t="n"/>
      <c r="E2" s="1" t="n"/>
      <c r="F2" s="1" t="n"/>
      <c r="G2" s="1" t="n"/>
      <c r="H2" s="1" t="n"/>
      <c r="I2" s="1" t="n"/>
      <c r="J2" s="1" t="n"/>
      <c r="K2" s="3" t="inlineStr">
        <is>
          <t>Northline Budget</t>
        </is>
      </c>
      <c r="L2" s="1" t="n"/>
    </row>
    <row r="3" ht="19" customHeight="1">
      <c r="A3" s="1" t="n"/>
      <c r="B3" s="4" t="inlineStr">
        <is>
          <t>Save a little every paycheck for the costs you know are coming.</t>
        </is>
      </c>
      <c r="C3" s="1" t="n"/>
      <c r="D3" s="1" t="n"/>
      <c r="E3" s="1" t="n"/>
      <c r="F3" s="1" t="n"/>
      <c r="G3" s="1" t="n"/>
      <c r="H3" s="1" t="n"/>
      <c r="I3" s="1" t="n"/>
      <c r="J3" s="1" t="n"/>
      <c r="K3" s="1" t="n"/>
      <c r="L3" s="1" t="n"/>
    </row>
    <row r="4" ht="11" customHeight="1">
      <c r="A4" s="1" t="n"/>
      <c r="B4" s="1" t="n"/>
      <c r="C4" s="1" t="n"/>
      <c r="D4" s="1" t="n"/>
      <c r="E4" s="1" t="n"/>
      <c r="F4" s="1" t="n"/>
      <c r="G4" s="1" t="n"/>
      <c r="H4" s="1" t="n"/>
      <c r="I4" s="1" t="n"/>
      <c r="J4" s="1" t="n"/>
      <c r="K4" s="1" t="n"/>
      <c r="L4" s="1" t="n"/>
    </row>
    <row r="5" ht="12" customHeight="1">
      <c r="A5" s="5" t="n"/>
      <c r="B5" s="5" t="n"/>
      <c r="C5" s="5" t="n"/>
      <c r="D5" s="5" t="n"/>
      <c r="E5" s="5" t="n"/>
      <c r="F5" s="5" t="n"/>
      <c r="G5" s="5" t="n"/>
      <c r="H5" s="5" t="n"/>
      <c r="I5" s="5" t="n"/>
      <c r="J5" s="5" t="n"/>
      <c r="K5" s="5" t="n"/>
      <c r="L5" s="5" t="n"/>
    </row>
    <row r="6" ht="20" customHeight="1">
      <c r="A6" s="5" t="n"/>
      <c r="B6" s="23" t="inlineStr">
        <is>
          <t>Saved so far</t>
        </is>
      </c>
      <c r="C6" s="24" t="n"/>
      <c r="D6" s="23" t="inlineStr">
        <is>
          <t>Total goals</t>
        </is>
      </c>
      <c r="E6" s="25" t="n"/>
      <c r="F6" s="25" t="n"/>
      <c r="G6" s="24" t="n"/>
      <c r="H6" s="23" t="inlineStr">
        <is>
          <t>Set aside per paycheck</t>
        </is>
      </c>
      <c r="I6" s="24" t="n"/>
      <c r="J6" s="23" t="inlineStr">
        <is>
          <t>Overall progress</t>
        </is>
      </c>
      <c r="K6" s="24" t="n"/>
      <c r="L6" s="5" t="n"/>
    </row>
    <row r="7" ht="30" customHeight="1">
      <c r="A7" s="5" t="n"/>
      <c r="B7" s="26">
        <f>E36</f>
        <v/>
      </c>
      <c r="C7" s="27" t="n"/>
      <c r="D7" s="26">
        <f>C36</f>
        <v/>
      </c>
      <c r="E7" s="28" t="n"/>
      <c r="F7" s="28" t="n"/>
      <c r="G7" s="27" t="n"/>
      <c r="H7" s="26">
        <f>I36</f>
        <v/>
      </c>
      <c r="I7" s="27" t="n"/>
      <c r="J7" s="29">
        <f>IF(C36=0,"",M36)</f>
        <v/>
      </c>
      <c r="K7" s="27" t="n"/>
      <c r="L7" s="5" t="n"/>
    </row>
    <row r="8" ht="20" customHeight="1">
      <c r="A8" s="5" t="n"/>
      <c r="B8" s="30" t="inlineStr">
        <is>
          <t>across all funds</t>
        </is>
      </c>
      <c r="C8" s="31" t="n"/>
      <c r="D8" s="30">
        <f>IF(F36=0,"","still to save: "&amp;TEXT(F36,"$#,##0"))</f>
        <v/>
      </c>
      <c r="E8" s="32" t="n"/>
      <c r="F8" s="32" t="n"/>
      <c r="G8" s="31" t="n"/>
      <c r="H8" s="30">
        <f>TEXT(H36,"$#,##0")&amp;" per month"</f>
        <v/>
      </c>
      <c r="I8" s="31" t="n"/>
      <c r="J8" s="33">
        <f>IF(C36=0,"",IFERROR(SPARKLINE(M36:N36,{"charttype","bar";"color1","#1E6A5B";"color2","#E3EEEA"}),REPT("█",ROUND(M36*10,0))))</f>
        <v/>
      </c>
      <c r="K8" s="31" t="n"/>
      <c r="L8" s="5" t="n"/>
    </row>
    <row r="9">
      <c r="A9" s="5" t="n"/>
      <c r="B9" s="5" t="n"/>
      <c r="C9" s="5" t="n"/>
      <c r="D9" s="5" t="n"/>
      <c r="E9" s="5" t="n"/>
      <c r="F9" s="5" t="n"/>
      <c r="G9" s="5" t="n"/>
      <c r="H9" s="5" t="n"/>
      <c r="I9" s="5" t="n"/>
      <c r="J9" s="5" t="n"/>
      <c r="K9" s="5" t="n"/>
      <c r="L9" s="5" t="n"/>
    </row>
    <row r="10" ht="30" customHeight="1">
      <c r="A10" s="5" t="n"/>
      <c r="B10" s="6" t="inlineStr">
        <is>
          <t>Your pay</t>
        </is>
      </c>
      <c r="C10" s="34" t="n"/>
      <c r="D10" s="34" t="n"/>
      <c r="E10" s="34" t="n"/>
      <c r="F10" s="34" t="n"/>
      <c r="G10" s="34" t="n"/>
      <c r="H10" s="34" t="n"/>
      <c r="I10" s="34" t="n"/>
      <c r="J10" s="34" t="n"/>
      <c r="K10" s="7" t="n"/>
      <c r="L10" s="5" t="n"/>
    </row>
    <row r="11" ht="26" customHeight="1">
      <c r="A11" s="5" t="n"/>
      <c r="B11" s="35" t="inlineStr">
        <is>
          <t>How often you're paid</t>
        </is>
      </c>
      <c r="C11" s="36" t="inlineStr">
        <is>
          <t>Biweekly</t>
        </is>
      </c>
      <c r="D11" s="37" t="n"/>
      <c r="E11" s="38" t="inlineStr">
        <is>
          <t>Weekly, Biweekly, Semi-monthly or Monthly. Used for the per-paycheck amount.</t>
        </is>
      </c>
      <c r="F11" s="32" t="n"/>
      <c r="G11" s="32" t="n"/>
      <c r="H11" s="32" t="n"/>
      <c r="I11" s="32" t="n"/>
      <c r="J11" s="32" t="n"/>
      <c r="K11" s="31" t="n"/>
      <c r="L11" s="5" t="n"/>
      <c r="M11">
        <f>IFERROR(INDEX({52,26,24,12},MATCH(C11,{"Weekly","Biweekly","Semi-monthly","Monthly"},0)),26)</f>
        <v/>
      </c>
    </row>
    <row r="12" ht="8" customHeight="1">
      <c r="A12" s="5" t="n"/>
      <c r="B12" s="12" t="n"/>
      <c r="C12" s="39" t="n"/>
      <c r="D12" s="39" t="n"/>
      <c r="E12" s="39" t="n"/>
      <c r="F12" s="39" t="n"/>
      <c r="G12" s="39" t="n"/>
      <c r="H12" s="39" t="n"/>
      <c r="I12" s="39" t="n"/>
      <c r="J12" s="39" t="n"/>
      <c r="K12" s="13" t="n"/>
      <c r="L12" s="5" t="n"/>
    </row>
    <row r="13" ht="12" customHeight="1">
      <c r="A13" s="5" t="n"/>
      <c r="B13" s="5" t="n"/>
      <c r="C13" s="5" t="n"/>
      <c r="D13" s="5" t="n"/>
      <c r="E13" s="5" t="n"/>
      <c r="F13" s="5" t="n"/>
      <c r="G13" s="5" t="n"/>
      <c r="H13" s="5" t="n"/>
      <c r="I13" s="5" t="n"/>
      <c r="J13" s="5" t="n"/>
      <c r="K13" s="5" t="n"/>
      <c r="L13" s="5" t="n"/>
    </row>
    <row r="14" ht="30" customHeight="1">
      <c r="A14" s="5" t="n"/>
      <c r="B14" s="6" t="inlineStr">
        <is>
          <t>Your funds</t>
        </is>
      </c>
      <c r="C14" s="34" t="n"/>
      <c r="D14" s="40" t="inlineStr">
        <is>
          <t>Add a goal and a date. The sheet works out what to set aside.</t>
        </is>
      </c>
      <c r="E14" s="34" t="n"/>
      <c r="F14" s="34" t="n"/>
      <c r="G14" s="34" t="n"/>
      <c r="H14" s="34" t="n"/>
      <c r="I14" s="34" t="n"/>
      <c r="J14" s="34" t="n"/>
      <c r="K14" s="7" t="n"/>
      <c r="L14" s="5" t="n"/>
    </row>
    <row r="15" ht="28" customHeight="1">
      <c r="A15" s="5" t="n"/>
      <c r="B15" s="41" t="inlineStr">
        <is>
          <t>Fund</t>
        </is>
      </c>
      <c r="C15" s="42" t="inlineStr">
        <is>
          <t>Goal</t>
        </is>
      </c>
      <c r="D15" s="42" t="inlineStr">
        <is>
          <t>Need it by</t>
        </is>
      </c>
      <c r="E15" s="42" t="inlineStr">
        <is>
          <t>Saved so far</t>
        </is>
      </c>
      <c r="F15" s="42" t="inlineStr">
        <is>
          <t>Still needed</t>
        </is>
      </c>
      <c r="G15" s="43" t="inlineStr">
        <is>
          <t>Months left</t>
        </is>
      </c>
      <c r="H15" s="42" t="inlineStr">
        <is>
          <t>Save per month</t>
        </is>
      </c>
      <c r="I15" s="42" t="inlineStr">
        <is>
          <t>Save per paycheck</t>
        </is>
      </c>
      <c r="J15" s="43" t="inlineStr">
        <is>
          <t>Progress</t>
        </is>
      </c>
      <c r="K15" s="44" t="inlineStr"/>
      <c r="L15" s="5" t="n"/>
    </row>
    <row r="16" ht="22" customHeight="1">
      <c r="A16" s="5" t="n"/>
      <c r="B16" s="45" t="inlineStr">
        <is>
          <t>Christmas</t>
        </is>
      </c>
      <c r="C16" s="46" t="n">
        <v>1200</v>
      </c>
      <c r="D16" s="47">
        <f>DATE(YEAR(TODAY())+IF(MONTH(TODAY())=12,1,0),12,1)</f>
        <v/>
      </c>
      <c r="E16" s="46" t="n">
        <v>300</v>
      </c>
      <c r="F16" s="48">
        <f>IF($B16="",0,MAX(0,N($C16)-N($E16)))</f>
        <v/>
      </c>
      <c r="G16" s="49">
        <f>IF(OR($B16="",$D16=""),0,MAX(1,(YEAR($D16)-YEAR(TODAY()))*12+MONTH($D16)-MONTH(TODAY())))</f>
        <v/>
      </c>
      <c r="H16" s="48">
        <f>IF(G16=0,0,F16/G16)</f>
        <v/>
      </c>
      <c r="I16" s="48">
        <f>H16*12/$M$11</f>
        <v/>
      </c>
      <c r="J16" s="50">
        <f>IF(OR($B16="",N($C16)=0),"",IFERROR(SPARKLINE(M16:N16,{"charttype","bar";"color1","#1E6A5B";"color2","#E3EEEA"}),REPT("█",ROUND(M16*10,0))))</f>
        <v/>
      </c>
      <c r="K16" s="51">
        <f>IF(OR($B16="",N($C16)=0),"",M16)</f>
        <v/>
      </c>
      <c r="L16" s="5" t="n"/>
      <c r="M16">
        <f>IF(OR($B16="",N($C16)=0),0,MIN(1,N($E16)/$C16))</f>
        <v/>
      </c>
      <c r="N16">
        <f>1-M16</f>
        <v/>
      </c>
    </row>
    <row r="17" ht="22" customHeight="1">
      <c r="A17" s="5" t="n"/>
      <c r="B17" s="45" t="inlineStr">
        <is>
          <t>Car repairs</t>
        </is>
      </c>
      <c r="C17" s="46" t="n">
        <v>1000</v>
      </c>
      <c r="D17" s="47">
        <f>EOMONTH(TODAY(),8)</f>
        <v/>
      </c>
      <c r="E17" s="46" t="n">
        <v>150</v>
      </c>
      <c r="F17" s="48">
        <f>IF($B17="",0,MAX(0,N($C17)-N($E17)))</f>
        <v/>
      </c>
      <c r="G17" s="49">
        <f>IF(OR($B17="",$D17=""),0,MAX(1,(YEAR($D17)-YEAR(TODAY()))*12+MONTH($D17)-MONTH(TODAY())))</f>
        <v/>
      </c>
      <c r="H17" s="48">
        <f>IF(G17=0,0,F17/G17)</f>
        <v/>
      </c>
      <c r="I17" s="48">
        <f>H17*12/$M$11</f>
        <v/>
      </c>
      <c r="J17" s="50">
        <f>IF(OR($B17="",N($C17)=0),"",IFERROR(SPARKLINE(M17:N17,{"charttype","bar";"color1","#1E6A5B";"color2","#E3EEEA"}),REPT("█",ROUND(M17*10,0))))</f>
        <v/>
      </c>
      <c r="K17" s="51">
        <f>IF(OR($B17="",N($C17)=0),"",M17)</f>
        <v/>
      </c>
      <c r="L17" s="5" t="n"/>
      <c r="M17">
        <f>IF(OR($B17="",N($C17)=0),0,MIN(1,N($E17)/$C17))</f>
        <v/>
      </c>
      <c r="N17">
        <f>1-M17</f>
        <v/>
      </c>
    </row>
    <row r="18" ht="22" customHeight="1">
      <c r="A18" s="5" t="n"/>
      <c r="B18" s="45" t="inlineStr">
        <is>
          <t>Annual subscriptions</t>
        </is>
      </c>
      <c r="C18" s="46" t="n">
        <v>240</v>
      </c>
      <c r="D18" s="47">
        <f>EOMONTH(TODAY(),5)</f>
        <v/>
      </c>
      <c r="E18" s="46" t="n">
        <v>40</v>
      </c>
      <c r="F18" s="48">
        <f>IF($B18="",0,MAX(0,N($C18)-N($E18)))</f>
        <v/>
      </c>
      <c r="G18" s="49">
        <f>IF(OR($B18="",$D18=""),0,MAX(1,(YEAR($D18)-YEAR(TODAY()))*12+MONTH($D18)-MONTH(TODAY())))</f>
        <v/>
      </c>
      <c r="H18" s="48">
        <f>IF(G18=0,0,F18/G18)</f>
        <v/>
      </c>
      <c r="I18" s="48">
        <f>H18*12/$M$11</f>
        <v/>
      </c>
      <c r="J18" s="50">
        <f>IF(OR($B18="",N($C18)=0),"",IFERROR(SPARKLINE(M18:N18,{"charttype","bar";"color1","#1E6A5B";"color2","#E3EEEA"}),REPT("█",ROUND(M18*10,0))))</f>
        <v/>
      </c>
      <c r="K18" s="51">
        <f>IF(OR($B18="",N($C18)=0),"",M18)</f>
        <v/>
      </c>
      <c r="L18" s="5" t="n"/>
      <c r="M18">
        <f>IF(OR($B18="",N($C18)=0),0,MIN(1,N($E18)/$C18))</f>
        <v/>
      </c>
      <c r="N18">
        <f>1-M18</f>
        <v/>
      </c>
    </row>
    <row r="19" ht="22" customHeight="1">
      <c r="A19" s="5" t="n"/>
      <c r="B19" s="45" t="n"/>
      <c r="C19" s="46" t="n"/>
      <c r="D19" s="47" t="n"/>
      <c r="E19" s="46" t="n"/>
      <c r="F19" s="48">
        <f>IF($B19="",0,MAX(0,N($C19)-N($E19)))</f>
        <v/>
      </c>
      <c r="G19" s="49">
        <f>IF(OR($B19="",$D19=""),0,MAX(1,(YEAR($D19)-YEAR(TODAY()))*12+MONTH($D19)-MONTH(TODAY())))</f>
        <v/>
      </c>
      <c r="H19" s="48">
        <f>IF(G19=0,0,F19/G19)</f>
        <v/>
      </c>
      <c r="I19" s="48">
        <f>H19*12/$M$11</f>
        <v/>
      </c>
      <c r="J19" s="50">
        <f>IF(OR($B19="",N($C19)=0),"",IFERROR(SPARKLINE(M19:N19,{"charttype","bar";"color1","#1E6A5B";"color2","#E3EEEA"}),REPT("█",ROUND(M19*10,0))))</f>
        <v/>
      </c>
      <c r="K19" s="51">
        <f>IF(OR($B19="",N($C19)=0),"",M19)</f>
        <v/>
      </c>
      <c r="L19" s="5" t="n"/>
      <c r="M19">
        <f>IF(OR($B19="",N($C19)=0),0,MIN(1,N($E19)/$C19))</f>
        <v/>
      </c>
      <c r="N19">
        <f>1-M19</f>
        <v/>
      </c>
    </row>
    <row r="20" ht="22" customHeight="1">
      <c r="A20" s="5" t="n"/>
      <c r="B20" s="45" t="n"/>
      <c r="C20" s="46" t="n"/>
      <c r="D20" s="47" t="n"/>
      <c r="E20" s="46" t="n"/>
      <c r="F20" s="48">
        <f>IF($B20="",0,MAX(0,N($C20)-N($E20)))</f>
        <v/>
      </c>
      <c r="G20" s="49">
        <f>IF(OR($B20="",$D20=""),0,MAX(1,(YEAR($D20)-YEAR(TODAY()))*12+MONTH($D20)-MONTH(TODAY())))</f>
        <v/>
      </c>
      <c r="H20" s="48">
        <f>IF(G20=0,0,F20/G20)</f>
        <v/>
      </c>
      <c r="I20" s="48">
        <f>H20*12/$M$11</f>
        <v/>
      </c>
      <c r="J20" s="50">
        <f>IF(OR($B20="",N($C20)=0),"",IFERROR(SPARKLINE(M20:N20,{"charttype","bar";"color1","#1E6A5B";"color2","#E3EEEA"}),REPT("█",ROUND(M20*10,0))))</f>
        <v/>
      </c>
      <c r="K20" s="51">
        <f>IF(OR($B20="",N($C20)=0),"",M20)</f>
        <v/>
      </c>
      <c r="L20" s="5" t="n"/>
      <c r="M20">
        <f>IF(OR($B20="",N($C20)=0),0,MIN(1,N($E20)/$C20))</f>
        <v/>
      </c>
      <c r="N20">
        <f>1-M20</f>
        <v/>
      </c>
    </row>
    <row r="21" ht="22" customHeight="1">
      <c r="A21" s="5" t="n"/>
      <c r="B21" s="45" t="n"/>
      <c r="C21" s="46" t="n"/>
      <c r="D21" s="47" t="n"/>
      <c r="E21" s="46" t="n"/>
      <c r="F21" s="48">
        <f>IF($B21="",0,MAX(0,N($C21)-N($E21)))</f>
        <v/>
      </c>
      <c r="G21" s="49">
        <f>IF(OR($B21="",$D21=""),0,MAX(1,(YEAR($D21)-YEAR(TODAY()))*12+MONTH($D21)-MONTH(TODAY())))</f>
        <v/>
      </c>
      <c r="H21" s="48">
        <f>IF(G21=0,0,F21/G21)</f>
        <v/>
      </c>
      <c r="I21" s="48">
        <f>H21*12/$M$11</f>
        <v/>
      </c>
      <c r="J21" s="50">
        <f>IF(OR($B21="",N($C21)=0),"",IFERROR(SPARKLINE(M21:N21,{"charttype","bar";"color1","#1E6A5B";"color2","#E3EEEA"}),REPT("█",ROUND(M21*10,0))))</f>
        <v/>
      </c>
      <c r="K21" s="51">
        <f>IF(OR($B21="",N($C21)=0),"",M21)</f>
        <v/>
      </c>
      <c r="L21" s="5" t="n"/>
      <c r="M21">
        <f>IF(OR($B21="",N($C21)=0),0,MIN(1,N($E21)/$C21))</f>
        <v/>
      </c>
      <c r="N21">
        <f>1-M21</f>
        <v/>
      </c>
    </row>
    <row r="22" ht="22" customHeight="1">
      <c r="A22" s="5" t="n"/>
      <c r="B22" s="45" t="n"/>
      <c r="C22" s="46" t="n"/>
      <c r="D22" s="47" t="n"/>
      <c r="E22" s="46" t="n"/>
      <c r="F22" s="48">
        <f>IF($B22="",0,MAX(0,N($C22)-N($E22)))</f>
        <v/>
      </c>
      <c r="G22" s="49">
        <f>IF(OR($B22="",$D22=""),0,MAX(1,(YEAR($D22)-YEAR(TODAY()))*12+MONTH($D22)-MONTH(TODAY())))</f>
        <v/>
      </c>
      <c r="H22" s="48">
        <f>IF(G22=0,0,F22/G22)</f>
        <v/>
      </c>
      <c r="I22" s="48">
        <f>H22*12/$M$11</f>
        <v/>
      </c>
      <c r="J22" s="50">
        <f>IF(OR($B22="",N($C22)=0),"",IFERROR(SPARKLINE(M22:N22,{"charttype","bar";"color1","#1E6A5B";"color2","#E3EEEA"}),REPT("█",ROUND(M22*10,0))))</f>
        <v/>
      </c>
      <c r="K22" s="51">
        <f>IF(OR($B22="",N($C22)=0),"",M22)</f>
        <v/>
      </c>
      <c r="L22" s="5" t="n"/>
      <c r="M22">
        <f>IF(OR($B22="",N($C22)=0),0,MIN(1,N($E22)/$C22))</f>
        <v/>
      </c>
      <c r="N22">
        <f>1-M22</f>
        <v/>
      </c>
    </row>
    <row r="23" ht="22" customHeight="1">
      <c r="A23" s="5" t="n"/>
      <c r="B23" s="45" t="n"/>
      <c r="C23" s="46" t="n"/>
      <c r="D23" s="47" t="n"/>
      <c r="E23" s="46" t="n"/>
      <c r="F23" s="48">
        <f>IF($B23="",0,MAX(0,N($C23)-N($E23)))</f>
        <v/>
      </c>
      <c r="G23" s="49">
        <f>IF(OR($B23="",$D23=""),0,MAX(1,(YEAR($D23)-YEAR(TODAY()))*12+MONTH($D23)-MONTH(TODAY())))</f>
        <v/>
      </c>
      <c r="H23" s="48">
        <f>IF(G23=0,0,F23/G23)</f>
        <v/>
      </c>
      <c r="I23" s="48">
        <f>H23*12/$M$11</f>
        <v/>
      </c>
      <c r="J23" s="50">
        <f>IF(OR($B23="",N($C23)=0),"",IFERROR(SPARKLINE(M23:N23,{"charttype","bar";"color1","#1E6A5B";"color2","#E3EEEA"}),REPT("█",ROUND(M23*10,0))))</f>
        <v/>
      </c>
      <c r="K23" s="51">
        <f>IF(OR($B23="",N($C23)=0),"",M23)</f>
        <v/>
      </c>
      <c r="L23" s="5" t="n"/>
      <c r="M23">
        <f>IF(OR($B23="",N($C23)=0),0,MIN(1,N($E23)/$C23))</f>
        <v/>
      </c>
      <c r="N23">
        <f>1-M23</f>
        <v/>
      </c>
    </row>
    <row r="24" ht="22" customHeight="1">
      <c r="A24" s="5" t="n"/>
      <c r="B24" s="45" t="n"/>
      <c r="C24" s="46" t="n"/>
      <c r="D24" s="47" t="n"/>
      <c r="E24" s="46" t="n"/>
      <c r="F24" s="48">
        <f>IF($B24="",0,MAX(0,N($C24)-N($E24)))</f>
        <v/>
      </c>
      <c r="G24" s="49">
        <f>IF(OR($B24="",$D24=""),0,MAX(1,(YEAR($D24)-YEAR(TODAY()))*12+MONTH($D24)-MONTH(TODAY())))</f>
        <v/>
      </c>
      <c r="H24" s="48">
        <f>IF(G24=0,0,F24/G24)</f>
        <v/>
      </c>
      <c r="I24" s="48">
        <f>H24*12/$M$11</f>
        <v/>
      </c>
      <c r="J24" s="50">
        <f>IF(OR($B24="",N($C24)=0),"",IFERROR(SPARKLINE(M24:N24,{"charttype","bar";"color1","#1E6A5B";"color2","#E3EEEA"}),REPT("█",ROUND(M24*10,0))))</f>
        <v/>
      </c>
      <c r="K24" s="51">
        <f>IF(OR($B24="",N($C24)=0),"",M24)</f>
        <v/>
      </c>
      <c r="L24" s="5" t="n"/>
      <c r="M24">
        <f>IF(OR($B24="",N($C24)=0),0,MIN(1,N($E24)/$C24))</f>
        <v/>
      </c>
      <c r="N24">
        <f>1-M24</f>
        <v/>
      </c>
    </row>
    <row r="25" ht="22" customHeight="1">
      <c r="A25" s="5" t="n"/>
      <c r="B25" s="45" t="n"/>
      <c r="C25" s="46" t="n"/>
      <c r="D25" s="47" t="n"/>
      <c r="E25" s="46" t="n"/>
      <c r="F25" s="48">
        <f>IF($B25="",0,MAX(0,N($C25)-N($E25)))</f>
        <v/>
      </c>
      <c r="G25" s="49">
        <f>IF(OR($B25="",$D25=""),0,MAX(1,(YEAR($D25)-YEAR(TODAY()))*12+MONTH($D25)-MONTH(TODAY())))</f>
        <v/>
      </c>
      <c r="H25" s="48">
        <f>IF(G25=0,0,F25/G25)</f>
        <v/>
      </c>
      <c r="I25" s="48">
        <f>H25*12/$M$11</f>
        <v/>
      </c>
      <c r="J25" s="50">
        <f>IF(OR($B25="",N($C25)=0),"",IFERROR(SPARKLINE(M25:N25,{"charttype","bar";"color1","#1E6A5B";"color2","#E3EEEA"}),REPT("█",ROUND(M25*10,0))))</f>
        <v/>
      </c>
      <c r="K25" s="51">
        <f>IF(OR($B25="",N($C25)=0),"",M25)</f>
        <v/>
      </c>
      <c r="L25" s="5" t="n"/>
      <c r="M25">
        <f>IF(OR($B25="",N($C25)=0),0,MIN(1,N($E25)/$C25))</f>
        <v/>
      </c>
      <c r="N25">
        <f>1-M25</f>
        <v/>
      </c>
    </row>
    <row r="26" ht="22" customHeight="1">
      <c r="A26" s="5" t="n"/>
      <c r="B26" s="45" t="n"/>
      <c r="C26" s="46" t="n"/>
      <c r="D26" s="47" t="n"/>
      <c r="E26" s="46" t="n"/>
      <c r="F26" s="48">
        <f>IF($B26="",0,MAX(0,N($C26)-N($E26)))</f>
        <v/>
      </c>
      <c r="G26" s="49">
        <f>IF(OR($B26="",$D26=""),0,MAX(1,(YEAR($D26)-YEAR(TODAY()))*12+MONTH($D26)-MONTH(TODAY())))</f>
        <v/>
      </c>
      <c r="H26" s="48">
        <f>IF(G26=0,0,F26/G26)</f>
        <v/>
      </c>
      <c r="I26" s="48">
        <f>H26*12/$M$11</f>
        <v/>
      </c>
      <c r="J26" s="50">
        <f>IF(OR($B26="",N($C26)=0),"",IFERROR(SPARKLINE(M26:N26,{"charttype","bar";"color1","#1E6A5B";"color2","#E3EEEA"}),REPT("█",ROUND(M26*10,0))))</f>
        <v/>
      </c>
      <c r="K26" s="51">
        <f>IF(OR($B26="",N($C26)=0),"",M26)</f>
        <v/>
      </c>
      <c r="L26" s="5" t="n"/>
      <c r="M26">
        <f>IF(OR($B26="",N($C26)=0),0,MIN(1,N($E26)/$C26))</f>
        <v/>
      </c>
      <c r="N26">
        <f>1-M26</f>
        <v/>
      </c>
    </row>
    <row r="27" ht="22" customHeight="1">
      <c r="A27" s="5" t="n"/>
      <c r="B27" s="45" t="n"/>
      <c r="C27" s="46" t="n"/>
      <c r="D27" s="47" t="n"/>
      <c r="E27" s="46" t="n"/>
      <c r="F27" s="48">
        <f>IF($B27="",0,MAX(0,N($C27)-N($E27)))</f>
        <v/>
      </c>
      <c r="G27" s="49">
        <f>IF(OR($B27="",$D27=""),0,MAX(1,(YEAR($D27)-YEAR(TODAY()))*12+MONTH($D27)-MONTH(TODAY())))</f>
        <v/>
      </c>
      <c r="H27" s="48">
        <f>IF(G27=0,0,F27/G27)</f>
        <v/>
      </c>
      <c r="I27" s="48">
        <f>H27*12/$M$11</f>
        <v/>
      </c>
      <c r="J27" s="50">
        <f>IF(OR($B27="",N($C27)=0),"",IFERROR(SPARKLINE(M27:N27,{"charttype","bar";"color1","#1E6A5B";"color2","#E3EEEA"}),REPT("█",ROUND(M27*10,0))))</f>
        <v/>
      </c>
      <c r="K27" s="51">
        <f>IF(OR($B27="",N($C27)=0),"",M27)</f>
        <v/>
      </c>
      <c r="L27" s="5" t="n"/>
      <c r="M27">
        <f>IF(OR($B27="",N($C27)=0),0,MIN(1,N($E27)/$C27))</f>
        <v/>
      </c>
      <c r="N27">
        <f>1-M27</f>
        <v/>
      </c>
    </row>
    <row r="28" ht="22" customHeight="1">
      <c r="A28" s="5" t="n"/>
      <c r="B28" s="45" t="n"/>
      <c r="C28" s="46" t="n"/>
      <c r="D28" s="47" t="n"/>
      <c r="E28" s="46" t="n"/>
      <c r="F28" s="48">
        <f>IF($B28="",0,MAX(0,N($C28)-N($E28)))</f>
        <v/>
      </c>
      <c r="G28" s="49">
        <f>IF(OR($B28="",$D28=""),0,MAX(1,(YEAR($D28)-YEAR(TODAY()))*12+MONTH($D28)-MONTH(TODAY())))</f>
        <v/>
      </c>
      <c r="H28" s="48">
        <f>IF(G28=0,0,F28/G28)</f>
        <v/>
      </c>
      <c r="I28" s="48">
        <f>H28*12/$M$11</f>
        <v/>
      </c>
      <c r="J28" s="50">
        <f>IF(OR($B28="",N($C28)=0),"",IFERROR(SPARKLINE(M28:N28,{"charttype","bar";"color1","#1E6A5B";"color2","#E3EEEA"}),REPT("█",ROUND(M28*10,0))))</f>
        <v/>
      </c>
      <c r="K28" s="51">
        <f>IF(OR($B28="",N($C28)=0),"",M28)</f>
        <v/>
      </c>
      <c r="L28" s="5" t="n"/>
      <c r="M28">
        <f>IF(OR($B28="",N($C28)=0),0,MIN(1,N($E28)/$C28))</f>
        <v/>
      </c>
      <c r="N28">
        <f>1-M28</f>
        <v/>
      </c>
    </row>
    <row r="29" ht="22" customHeight="1">
      <c r="A29" s="5" t="n"/>
      <c r="B29" s="45" t="n"/>
      <c r="C29" s="46" t="n"/>
      <c r="D29" s="47" t="n"/>
      <c r="E29" s="46" t="n"/>
      <c r="F29" s="48">
        <f>IF($B29="",0,MAX(0,N($C29)-N($E29)))</f>
        <v/>
      </c>
      <c r="G29" s="49">
        <f>IF(OR($B29="",$D29=""),0,MAX(1,(YEAR($D29)-YEAR(TODAY()))*12+MONTH($D29)-MONTH(TODAY())))</f>
        <v/>
      </c>
      <c r="H29" s="48">
        <f>IF(G29=0,0,F29/G29)</f>
        <v/>
      </c>
      <c r="I29" s="48">
        <f>H29*12/$M$11</f>
        <v/>
      </c>
      <c r="J29" s="50">
        <f>IF(OR($B29="",N($C29)=0),"",IFERROR(SPARKLINE(M29:N29,{"charttype","bar";"color1","#1E6A5B";"color2","#E3EEEA"}),REPT("█",ROUND(M29*10,0))))</f>
        <v/>
      </c>
      <c r="K29" s="51">
        <f>IF(OR($B29="",N($C29)=0),"",M29)</f>
        <v/>
      </c>
      <c r="L29" s="5" t="n"/>
      <c r="M29">
        <f>IF(OR($B29="",N($C29)=0),0,MIN(1,N($E29)/$C29))</f>
        <v/>
      </c>
      <c r="N29">
        <f>1-M29</f>
        <v/>
      </c>
    </row>
    <row r="30" ht="22" customHeight="1">
      <c r="A30" s="5" t="n"/>
      <c r="B30" s="45" t="n"/>
      <c r="C30" s="46" t="n"/>
      <c r="D30" s="47" t="n"/>
      <c r="E30" s="46" t="n"/>
      <c r="F30" s="48">
        <f>IF($B30="",0,MAX(0,N($C30)-N($E30)))</f>
        <v/>
      </c>
      <c r="G30" s="49">
        <f>IF(OR($B30="",$D30=""),0,MAX(1,(YEAR($D30)-YEAR(TODAY()))*12+MONTH($D30)-MONTH(TODAY())))</f>
        <v/>
      </c>
      <c r="H30" s="48">
        <f>IF(G30=0,0,F30/G30)</f>
        <v/>
      </c>
      <c r="I30" s="48">
        <f>H30*12/$M$11</f>
        <v/>
      </c>
      <c r="J30" s="50">
        <f>IF(OR($B30="",N($C30)=0),"",IFERROR(SPARKLINE(M30:N30,{"charttype","bar";"color1","#1E6A5B";"color2","#E3EEEA"}),REPT("█",ROUND(M30*10,0))))</f>
        <v/>
      </c>
      <c r="K30" s="51">
        <f>IF(OR($B30="",N($C30)=0),"",M30)</f>
        <v/>
      </c>
      <c r="L30" s="5" t="n"/>
      <c r="M30">
        <f>IF(OR($B30="",N($C30)=0),0,MIN(1,N($E30)/$C30))</f>
        <v/>
      </c>
      <c r="N30">
        <f>1-M30</f>
        <v/>
      </c>
    </row>
    <row r="31" ht="22" customHeight="1">
      <c r="A31" s="5" t="n"/>
      <c r="B31" s="45" t="n"/>
      <c r="C31" s="46" t="n"/>
      <c r="D31" s="47" t="n"/>
      <c r="E31" s="46" t="n"/>
      <c r="F31" s="48">
        <f>IF($B31="",0,MAX(0,N($C31)-N($E31)))</f>
        <v/>
      </c>
      <c r="G31" s="49">
        <f>IF(OR($B31="",$D31=""),0,MAX(1,(YEAR($D31)-YEAR(TODAY()))*12+MONTH($D31)-MONTH(TODAY())))</f>
        <v/>
      </c>
      <c r="H31" s="48">
        <f>IF(G31=0,0,F31/G31)</f>
        <v/>
      </c>
      <c r="I31" s="48">
        <f>H31*12/$M$11</f>
        <v/>
      </c>
      <c r="J31" s="50">
        <f>IF(OR($B31="",N($C31)=0),"",IFERROR(SPARKLINE(M31:N31,{"charttype","bar";"color1","#1E6A5B";"color2","#E3EEEA"}),REPT("█",ROUND(M31*10,0))))</f>
        <v/>
      </c>
      <c r="K31" s="51">
        <f>IF(OR($B31="",N($C31)=0),"",M31)</f>
        <v/>
      </c>
      <c r="L31" s="5" t="n"/>
      <c r="M31">
        <f>IF(OR($B31="",N($C31)=0),0,MIN(1,N($E31)/$C31))</f>
        <v/>
      </c>
      <c r="N31">
        <f>1-M31</f>
        <v/>
      </c>
    </row>
    <row r="32" ht="22" customHeight="1">
      <c r="A32" s="5" t="n"/>
      <c r="B32" s="45" t="n"/>
      <c r="C32" s="46" t="n"/>
      <c r="D32" s="47" t="n"/>
      <c r="E32" s="46" t="n"/>
      <c r="F32" s="48">
        <f>IF($B32="",0,MAX(0,N($C32)-N($E32)))</f>
        <v/>
      </c>
      <c r="G32" s="49">
        <f>IF(OR($B32="",$D32=""),0,MAX(1,(YEAR($D32)-YEAR(TODAY()))*12+MONTH($D32)-MONTH(TODAY())))</f>
        <v/>
      </c>
      <c r="H32" s="48">
        <f>IF(G32=0,0,F32/G32)</f>
        <v/>
      </c>
      <c r="I32" s="48">
        <f>H32*12/$M$11</f>
        <v/>
      </c>
      <c r="J32" s="50">
        <f>IF(OR($B32="",N($C32)=0),"",IFERROR(SPARKLINE(M32:N32,{"charttype","bar";"color1","#1E6A5B";"color2","#E3EEEA"}),REPT("█",ROUND(M32*10,0))))</f>
        <v/>
      </c>
      <c r="K32" s="51">
        <f>IF(OR($B32="",N($C32)=0),"",M32)</f>
        <v/>
      </c>
      <c r="L32" s="5" t="n"/>
      <c r="M32">
        <f>IF(OR($B32="",N($C32)=0),0,MIN(1,N($E32)/$C32))</f>
        <v/>
      </c>
      <c r="N32">
        <f>1-M32</f>
        <v/>
      </c>
    </row>
    <row r="33" ht="22" customHeight="1">
      <c r="A33" s="5" t="n"/>
      <c r="B33" s="45" t="n"/>
      <c r="C33" s="46" t="n"/>
      <c r="D33" s="47" t="n"/>
      <c r="E33" s="46" t="n"/>
      <c r="F33" s="48">
        <f>IF($B33="",0,MAX(0,N($C33)-N($E33)))</f>
        <v/>
      </c>
      <c r="G33" s="49">
        <f>IF(OR($B33="",$D33=""),0,MAX(1,(YEAR($D33)-YEAR(TODAY()))*12+MONTH($D33)-MONTH(TODAY())))</f>
        <v/>
      </c>
      <c r="H33" s="48">
        <f>IF(G33=0,0,F33/G33)</f>
        <v/>
      </c>
      <c r="I33" s="48">
        <f>H33*12/$M$11</f>
        <v/>
      </c>
      <c r="J33" s="50">
        <f>IF(OR($B33="",N($C33)=0),"",IFERROR(SPARKLINE(M33:N33,{"charttype","bar";"color1","#1E6A5B";"color2","#E3EEEA"}),REPT("█",ROUND(M33*10,0))))</f>
        <v/>
      </c>
      <c r="K33" s="51">
        <f>IF(OR($B33="",N($C33)=0),"",M33)</f>
        <v/>
      </c>
      <c r="L33" s="5" t="n"/>
      <c r="M33">
        <f>IF(OR($B33="",N($C33)=0),0,MIN(1,N($E33)/$C33))</f>
        <v/>
      </c>
      <c r="N33">
        <f>1-M33</f>
        <v/>
      </c>
    </row>
    <row r="34" ht="22" customHeight="1">
      <c r="A34" s="5" t="n"/>
      <c r="B34" s="45" t="n"/>
      <c r="C34" s="46" t="n"/>
      <c r="D34" s="47" t="n"/>
      <c r="E34" s="46" t="n"/>
      <c r="F34" s="48">
        <f>IF($B34="",0,MAX(0,N($C34)-N($E34)))</f>
        <v/>
      </c>
      <c r="G34" s="49">
        <f>IF(OR($B34="",$D34=""),0,MAX(1,(YEAR($D34)-YEAR(TODAY()))*12+MONTH($D34)-MONTH(TODAY())))</f>
        <v/>
      </c>
      <c r="H34" s="48">
        <f>IF(G34=0,0,F34/G34)</f>
        <v/>
      </c>
      <c r="I34" s="48">
        <f>H34*12/$M$11</f>
        <v/>
      </c>
      <c r="J34" s="50">
        <f>IF(OR($B34="",N($C34)=0),"",IFERROR(SPARKLINE(M34:N34,{"charttype","bar";"color1","#1E6A5B";"color2","#E3EEEA"}),REPT("█",ROUND(M34*10,0))))</f>
        <v/>
      </c>
      <c r="K34" s="51">
        <f>IF(OR($B34="",N($C34)=0),"",M34)</f>
        <v/>
      </c>
      <c r="L34" s="5" t="n"/>
      <c r="M34">
        <f>IF(OR($B34="",N($C34)=0),0,MIN(1,N($E34)/$C34))</f>
        <v/>
      </c>
      <c r="N34">
        <f>1-M34</f>
        <v/>
      </c>
    </row>
    <row r="35" ht="22" customHeight="1">
      <c r="A35" s="5" t="n"/>
      <c r="B35" s="45" t="n"/>
      <c r="C35" s="46" t="n"/>
      <c r="D35" s="47" t="n"/>
      <c r="E35" s="46" t="n"/>
      <c r="F35" s="48">
        <f>IF($B35="",0,MAX(0,N($C35)-N($E35)))</f>
        <v/>
      </c>
      <c r="G35" s="49">
        <f>IF(OR($B35="",$D35=""),0,MAX(1,(YEAR($D35)-YEAR(TODAY()))*12+MONTH($D35)-MONTH(TODAY())))</f>
        <v/>
      </c>
      <c r="H35" s="48">
        <f>IF(G35=0,0,F35/G35)</f>
        <v/>
      </c>
      <c r="I35" s="48">
        <f>H35*12/$M$11</f>
        <v/>
      </c>
      <c r="J35" s="50">
        <f>IF(OR($B35="",N($C35)=0),"",IFERROR(SPARKLINE(M35:N35,{"charttype","bar";"color1","#1E6A5B";"color2","#E3EEEA"}),REPT("█",ROUND(M35*10,0))))</f>
        <v/>
      </c>
      <c r="K35" s="51">
        <f>IF(OR($B35="",N($C35)=0),"",M35)</f>
        <v/>
      </c>
      <c r="L35" s="5" t="n"/>
      <c r="M35">
        <f>IF(OR($B35="",N($C35)=0),0,MIN(1,N($E35)/$C35))</f>
        <v/>
      </c>
      <c r="N35">
        <f>1-M35</f>
        <v/>
      </c>
    </row>
    <row r="36">
      <c r="A36" s="5" t="n"/>
      <c r="B36" s="52" t="inlineStr">
        <is>
          <t>Total</t>
        </is>
      </c>
      <c r="C36" s="53">
        <f>SUM(C16:C35)</f>
        <v/>
      </c>
      <c r="D36" s="53" t="n"/>
      <c r="E36" s="53">
        <f>SUM(E16:E35)</f>
        <v/>
      </c>
      <c r="F36" s="53">
        <f>SUM(F16:F35)</f>
        <v/>
      </c>
      <c r="G36" s="54" t="n"/>
      <c r="H36" s="53">
        <f>SUM(H16:H35)</f>
        <v/>
      </c>
      <c r="I36" s="53">
        <f>SUM(I16:I35)</f>
        <v/>
      </c>
      <c r="J36" s="54" t="n"/>
      <c r="K36" s="55" t="n"/>
      <c r="L36" s="5" t="n"/>
      <c r="M36">
        <f>IF(C36=0,0,MIN(1,E36/C36))</f>
        <v/>
      </c>
      <c r="N36">
        <f>1-M36</f>
        <v/>
      </c>
    </row>
    <row r="37">
      <c r="A37" s="5" t="n"/>
      <c r="B37" s="5" t="n"/>
      <c r="C37" s="5" t="n"/>
      <c r="D37" s="5" t="n"/>
      <c r="E37" s="5" t="n"/>
      <c r="F37" s="5" t="n"/>
      <c r="G37" s="5" t="n"/>
      <c r="H37" s="5" t="n"/>
      <c r="I37" s="5" t="n"/>
      <c r="J37" s="5" t="n"/>
      <c r="K37" s="5" t="n"/>
      <c r="L37" s="5" t="n"/>
    </row>
    <row r="38" ht="30" customHeight="1">
      <c r="A38" s="5" t="n"/>
      <c r="B38" s="6" t="inlineStr">
        <is>
          <t>Want every paycheck planned, not just your savings?</t>
        </is>
      </c>
      <c r="C38" s="34" t="n"/>
      <c r="D38" s="34" t="n"/>
      <c r="E38" s="34" t="n"/>
      <c r="F38" s="34" t="n"/>
      <c r="G38" s="34" t="n"/>
      <c r="H38" s="34" t="n"/>
      <c r="I38" s="34" t="n"/>
      <c r="J38" s="34" t="n"/>
      <c r="K38" s="7" t="n"/>
      <c r="L38" s="5" t="n"/>
    </row>
    <row r="39" ht="34" customHeight="1">
      <c r="A39" s="5" t="n"/>
      <c r="B39" s="56" t="inlineStr">
        <is>
          <t>The Northline Paycheck Budget Spreadsheet lists every payday of the year, matches each bill to the right paycheck, and adds debt payoff, a spending log and a dashboard.</t>
        </is>
      </c>
      <c r="C39" s="57" t="n"/>
      <c r="D39" s="57" t="n"/>
      <c r="E39" s="57" t="n"/>
      <c r="F39" s="57" t="n"/>
      <c r="G39" s="57" t="n"/>
      <c r="H39" s="57" t="n"/>
      <c r="I39" s="57" t="n"/>
      <c r="J39" s="57" t="n"/>
      <c r="K39" s="58" t="n"/>
      <c r="L39" s="5" t="n"/>
    </row>
    <row r="40" ht="26" customHeight="1">
      <c r="A40" s="5" t="n"/>
      <c r="B40" s="59">
        <f>HYPERLINK("https://northlinebudget.gumroad.com/l/paycheck-budget?utm_source=freebie&amp;utm_medium=sheet&amp;utm_campaign=sinking-funds","See the Paycheck Budget Spreadsheet")</f>
        <v/>
      </c>
      <c r="C40" s="60" t="n"/>
      <c r="D40" s="60" t="n"/>
      <c r="E40" s="60" t="n"/>
      <c r="F40" s="60" t="n"/>
      <c r="G40" s="60" t="n"/>
      <c r="H40" s="60" t="n"/>
      <c r="I40" s="60" t="n"/>
      <c r="J40" s="60" t="n"/>
      <c r="K40" s="61" t="n"/>
      <c r="L40" s="5" t="n"/>
    </row>
    <row r="41" ht="8" customHeight="1">
      <c r="A41" s="5" t="n"/>
      <c r="B41" s="12" t="n"/>
      <c r="C41" s="39" t="n"/>
      <c r="D41" s="39" t="n"/>
      <c r="E41" s="39" t="n"/>
      <c r="F41" s="39" t="n"/>
      <c r="G41" s="39" t="n"/>
      <c r="H41" s="39" t="n"/>
      <c r="I41" s="39" t="n"/>
      <c r="J41" s="39" t="n"/>
      <c r="K41" s="13" t="n"/>
      <c r="L41" s="5" t="n"/>
    </row>
    <row r="42">
      <c r="A42" s="5" t="n"/>
      <c r="B42" s="5" t="n"/>
      <c r="C42" s="5" t="n"/>
      <c r="D42" s="5" t="n"/>
      <c r="E42" s="5" t="n"/>
      <c r="F42" s="5" t="n"/>
      <c r="G42" s="5" t="n"/>
      <c r="H42" s="5" t="n"/>
      <c r="I42" s="5" t="n"/>
      <c r="J42" s="5" t="n"/>
      <c r="K42" s="5" t="n"/>
      <c r="L42" s="5" t="n"/>
    </row>
    <row r="43">
      <c r="A43" s="5" t="n"/>
      <c r="B43" s="22" t="inlineStr">
        <is>
          <t>Northline Budget · Budget organizer, not financial advice. Free for your own household.</t>
        </is>
      </c>
      <c r="C43" s="5" t="n"/>
      <c r="D43" s="5" t="n"/>
      <c r="E43" s="5" t="n"/>
      <c r="F43" s="5" t="n"/>
      <c r="G43" s="5" t="n"/>
      <c r="H43" s="5" t="n"/>
      <c r="I43" s="5" t="n"/>
      <c r="J43" s="5" t="n"/>
      <c r="K43" s="5" t="n"/>
      <c r="L43" s="5" t="n"/>
    </row>
    <row r="44">
      <c r="A44" s="5" t="n"/>
      <c r="B44" s="5" t="n"/>
      <c r="C44" s="5" t="n"/>
      <c r="D44" s="5" t="n"/>
      <c r="E44" s="5" t="n"/>
      <c r="F44" s="5" t="n"/>
      <c r="G44" s="5" t="n"/>
      <c r="H44" s="5" t="n"/>
      <c r="I44" s="5" t="n"/>
      <c r="J44" s="5" t="n"/>
      <c r="K44" s="5" t="n"/>
      <c r="L44" s="5" t="n"/>
    </row>
    <row r="45">
      <c r="A45" s="5" t="n"/>
      <c r="B45" s="5" t="n"/>
      <c r="C45" s="5" t="n"/>
      <c r="D45" s="5" t="n"/>
      <c r="E45" s="5" t="n"/>
      <c r="F45" s="5" t="n"/>
      <c r="G45" s="5" t="n"/>
      <c r="H45" s="5" t="n"/>
      <c r="I45" s="5" t="n"/>
      <c r="J45" s="5" t="n"/>
      <c r="K45" s="5" t="n"/>
      <c r="L45" s="5" t="n"/>
    </row>
  </sheetData>
  <sheetProtection selectLockedCells="0" selectUnlockedCells="0" sheet="1" objects="0" insertRows="1" insertHyperlinks="1" autoFilter="1" scenarios="0" formatColumns="0" deleteColumns="1" insertColumns="1" pivotTables="1" deleteRows="1" formatCells="0" formatRows="0" sort="1"/>
  <mergeCells count="2">
    <mergeCell ref="C11:D11"/>
    <mergeCell ref="B39:K39"/>
  </mergeCells>
  <dataValidations count="2">
    <dataValidation sqref="C11" showDropDown="0" showInputMessage="0" showErrorMessage="0" allowBlank="0" type="list">
      <formula1>"Weekly,Biweekly,Semi-monthly,Monthly"</formula1>
    </dataValidation>
    <dataValidation sqref="D16:D35" showDropDown="0" showInputMessage="0" showErrorMessage="0" allowBlank="1" type="date" operator="greaterThan">
      <formula1>36526</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1E6A5B"/>
    <outlinePr summaryBelow="1" summaryRight="1"/>
    <pageSetUpPr fitToPage="1"/>
  </sheetPr>
  <dimension ref="A1:F44"/>
  <sheetViews>
    <sheetView showGridLines="0" zoomScale="100" workbookViewId="0">
      <selection activeCell="A1" sqref="A1"/>
    </sheetView>
  </sheetViews>
  <sheetFormatPr baseColWidth="8" defaultRowHeight="15"/>
  <cols>
    <col width="2.5" customWidth="1" min="1" max="1"/>
    <col width="30" customWidth="1" min="2" max="2"/>
    <col width="52" customWidth="1" min="3" max="3"/>
    <col width="3" customWidth="1" min="4" max="4"/>
    <col width="30" customWidth="1" min="5" max="5"/>
    <col width="2.5" customWidth="1" min="6" max="6"/>
  </cols>
  <sheetData>
    <row r="1" ht="10" customHeight="1">
      <c r="A1" s="1" t="n"/>
      <c r="B1" s="1" t="n"/>
      <c r="C1" s="1" t="n"/>
      <c r="D1" s="1" t="n"/>
      <c r="E1" s="1" t="n"/>
      <c r="F1" s="1" t="n"/>
    </row>
    <row r="2" ht="30" customHeight="1">
      <c r="A2" s="1" t="n"/>
      <c r="B2" s="2" t="inlineStr">
        <is>
          <t>Sinking fund ideas</t>
        </is>
      </c>
      <c r="C2" s="1" t="n"/>
      <c r="D2" s="1" t="n"/>
      <c r="E2" s="3" t="inlineStr">
        <is>
          <t>Northline Budget</t>
        </is>
      </c>
      <c r="F2" s="1" t="n"/>
    </row>
    <row r="3" ht="19" customHeight="1">
      <c r="A3" s="1" t="n"/>
      <c r="B3" s="4" t="inlineStr">
        <is>
          <t>Costs that come every year, just not every month. Pick the ones that fit your life.</t>
        </is>
      </c>
      <c r="C3" s="1" t="n"/>
      <c r="D3" s="1" t="n"/>
      <c r="E3" s="1" t="n"/>
      <c r="F3" s="1" t="n"/>
    </row>
    <row r="4" ht="11" customHeight="1">
      <c r="A4" s="1" t="n"/>
      <c r="B4" s="1" t="n"/>
      <c r="C4" s="1" t="n"/>
      <c r="D4" s="1" t="n"/>
      <c r="E4" s="1" t="n"/>
      <c r="F4" s="1" t="n"/>
    </row>
    <row r="5" ht="12" customHeight="1">
      <c r="A5" s="5" t="n"/>
      <c r="B5" s="5" t="n"/>
      <c r="C5" s="5" t="n"/>
      <c r="D5" s="5" t="n"/>
      <c r="E5" s="5" t="n"/>
      <c r="F5" s="5" t="n"/>
    </row>
    <row r="6" ht="30" customHeight="1">
      <c r="A6" s="5" t="n"/>
      <c r="B6" s="6" t="inlineStr">
        <is>
          <t>Home</t>
        </is>
      </c>
      <c r="C6" s="62" t="inlineStr">
        <is>
          <t>Tip: start with the next three things you know are coming.</t>
        </is>
      </c>
      <c r="D6" s="5" t="n"/>
      <c r="E6" s="5" t="n"/>
      <c r="F6" s="5" t="n"/>
    </row>
    <row r="7" ht="22" customHeight="1">
      <c r="A7" s="5" t="n"/>
      <c r="B7" s="63" t="inlineStr">
        <is>
          <t>Home repairs</t>
        </is>
      </c>
      <c r="C7" s="31" t="n"/>
      <c r="D7" s="5" t="n"/>
      <c r="E7" s="5" t="n"/>
      <c r="F7" s="5" t="n"/>
    </row>
    <row r="8" ht="22" customHeight="1">
      <c r="A8" s="5" t="n"/>
      <c r="B8" s="63" t="inlineStr">
        <is>
          <t>New appliance</t>
        </is>
      </c>
      <c r="C8" s="31" t="n"/>
      <c r="D8" s="5" t="n"/>
      <c r="E8" s="5" t="n"/>
      <c r="F8" s="5" t="n"/>
    </row>
    <row r="9" ht="22" customHeight="1">
      <c r="A9" s="5" t="n"/>
      <c r="B9" s="63" t="inlineStr">
        <is>
          <t>Furniture</t>
        </is>
      </c>
      <c r="C9" s="31" t="n"/>
      <c r="D9" s="5" t="n"/>
      <c r="E9" s="5" t="n"/>
      <c r="F9" s="5" t="n"/>
    </row>
    <row r="10" ht="22" customHeight="1">
      <c r="A10" s="5" t="n"/>
      <c r="B10" s="63" t="inlineStr">
        <is>
          <t>Renter's or home insurance (if paid yearly)</t>
        </is>
      </c>
      <c r="C10" s="31" t="n"/>
      <c r="D10" s="5" t="n"/>
      <c r="E10" s="5" t="n"/>
      <c r="F10" s="5" t="n"/>
    </row>
    <row r="11" ht="22" customHeight="1">
      <c r="A11" s="5" t="n"/>
      <c r="B11" s="63" t="inlineStr">
        <is>
          <t>Property tax (if not in your mortgage)</t>
        </is>
      </c>
      <c r="C11" s="31" t="n"/>
      <c r="D11" s="5" t="n"/>
      <c r="E11" s="5" t="n"/>
      <c r="F11" s="5" t="n"/>
    </row>
    <row r="12" ht="8" customHeight="1">
      <c r="A12" s="5" t="n"/>
      <c r="B12" s="12" t="n"/>
      <c r="C12" s="13" t="n"/>
      <c r="D12" s="5" t="n"/>
      <c r="E12" s="5" t="n"/>
      <c r="F12" s="5" t="n"/>
    </row>
    <row r="13">
      <c r="A13" s="5" t="n"/>
      <c r="B13" s="5" t="n"/>
      <c r="C13" s="5" t="n"/>
      <c r="D13" s="5" t="n"/>
      <c r="E13" s="5" t="n"/>
      <c r="F13" s="5" t="n"/>
    </row>
    <row r="14" ht="30" customHeight="1">
      <c r="A14" s="5" t="n"/>
      <c r="B14" s="6" t="inlineStr">
        <is>
          <t>Car</t>
        </is>
      </c>
      <c r="C14" s="7" t="n"/>
      <c r="D14" s="5" t="n"/>
      <c r="E14" s="5" t="n"/>
      <c r="F14" s="5" t="n"/>
    </row>
    <row r="15" ht="22" customHeight="1">
      <c r="A15" s="5" t="n"/>
      <c r="B15" s="63" t="inlineStr">
        <is>
          <t>Car repairs</t>
        </is>
      </c>
      <c r="C15" s="31" t="n"/>
      <c r="D15" s="5" t="n"/>
      <c r="E15" s="5" t="n"/>
      <c r="F15" s="5" t="n"/>
    </row>
    <row r="16" ht="22" customHeight="1">
      <c r="A16" s="5" t="n"/>
      <c r="B16" s="63" t="inlineStr">
        <is>
          <t>New tires</t>
        </is>
      </c>
      <c r="C16" s="31" t="n"/>
      <c r="D16" s="5" t="n"/>
      <c r="E16" s="5" t="n"/>
      <c r="F16" s="5" t="n"/>
    </row>
    <row r="17" ht="22" customHeight="1">
      <c r="A17" s="5" t="n"/>
      <c r="B17" s="63" t="inlineStr">
        <is>
          <t>Registration and inspection</t>
        </is>
      </c>
      <c r="C17" s="31" t="n"/>
      <c r="D17" s="5" t="n"/>
      <c r="E17" s="5" t="n"/>
      <c r="F17" s="5" t="n"/>
    </row>
    <row r="18" ht="22" customHeight="1">
      <c r="A18" s="5" t="n"/>
      <c r="B18" s="63" t="inlineStr">
        <is>
          <t>Car insurance (if paid every 6 or 12 months)</t>
        </is>
      </c>
      <c r="C18" s="31" t="n"/>
      <c r="D18" s="5" t="n"/>
      <c r="E18" s="5" t="n"/>
      <c r="F18" s="5" t="n"/>
    </row>
    <row r="19" ht="22" customHeight="1">
      <c r="A19" s="5" t="n"/>
      <c r="B19" s="63" t="inlineStr">
        <is>
          <t>Next car</t>
        </is>
      </c>
      <c r="C19" s="31" t="n"/>
      <c r="D19" s="5" t="n"/>
      <c r="E19" s="5" t="n"/>
      <c r="F19" s="5" t="n"/>
    </row>
    <row r="20" ht="8" customHeight="1">
      <c r="A20" s="5" t="n"/>
      <c r="B20" s="12" t="n"/>
      <c r="C20" s="13" t="n"/>
      <c r="D20" s="5" t="n"/>
      <c r="E20" s="5" t="n"/>
      <c r="F20" s="5" t="n"/>
    </row>
    <row r="21">
      <c r="A21" s="5" t="n"/>
      <c r="B21" s="5" t="n"/>
      <c r="C21" s="5" t="n"/>
      <c r="D21" s="5" t="n"/>
      <c r="E21" s="5" t="n"/>
      <c r="F21" s="5" t="n"/>
    </row>
    <row r="22" ht="30" customHeight="1">
      <c r="A22" s="5" t="n"/>
      <c r="B22" s="6" t="inlineStr">
        <is>
          <t>Family and pets</t>
        </is>
      </c>
      <c r="C22" s="7" t="n"/>
      <c r="D22" s="5" t="n"/>
      <c r="E22" s="5" t="n"/>
      <c r="F22" s="5" t="n"/>
    </row>
    <row r="23" ht="22" customHeight="1">
      <c r="A23" s="5" t="n"/>
      <c r="B23" s="63" t="inlineStr">
        <is>
          <t>Back to school</t>
        </is>
      </c>
      <c r="C23" s="31" t="n"/>
      <c r="D23" s="5" t="n"/>
      <c r="E23" s="5" t="n"/>
      <c r="F23" s="5" t="n"/>
    </row>
    <row r="24" ht="22" customHeight="1">
      <c r="A24" s="5" t="n"/>
      <c r="B24" s="63" t="inlineStr">
        <is>
          <t>Kids' activities and sports</t>
        </is>
      </c>
      <c r="C24" s="31" t="n"/>
      <c r="D24" s="5" t="n"/>
      <c r="E24" s="5" t="n"/>
      <c r="F24" s="5" t="n"/>
    </row>
    <row r="25" ht="22" customHeight="1">
      <c r="A25" s="5" t="n"/>
      <c r="B25" s="63" t="inlineStr">
        <is>
          <t>Birthdays</t>
        </is>
      </c>
      <c r="C25" s="31" t="n"/>
      <c r="D25" s="5" t="n"/>
      <c r="E25" s="5" t="n"/>
      <c r="F25" s="5" t="n"/>
    </row>
    <row r="26" ht="22" customHeight="1">
      <c r="A26" s="5" t="n"/>
      <c r="B26" s="63" t="inlineStr">
        <is>
          <t>Vet visits</t>
        </is>
      </c>
      <c r="C26" s="31" t="n"/>
      <c r="D26" s="5" t="n"/>
      <c r="E26" s="5" t="n"/>
      <c r="F26" s="5" t="n"/>
    </row>
    <row r="27" ht="22" customHeight="1">
      <c r="A27" s="5" t="n"/>
      <c r="B27" s="63" t="inlineStr">
        <is>
          <t>Pet supplies</t>
        </is>
      </c>
      <c r="C27" s="31" t="n"/>
      <c r="D27" s="5" t="n"/>
      <c r="E27" s="5" t="n"/>
      <c r="F27" s="5" t="n"/>
    </row>
    <row r="28" ht="8" customHeight="1">
      <c r="A28" s="5" t="n"/>
      <c r="B28" s="12" t="n"/>
      <c r="C28" s="13" t="n"/>
      <c r="D28" s="5" t="n"/>
      <c r="E28" s="5" t="n"/>
      <c r="F28" s="5" t="n"/>
    </row>
    <row r="29">
      <c r="A29" s="5" t="n"/>
      <c r="B29" s="5" t="n"/>
      <c r="C29" s="5" t="n"/>
      <c r="D29" s="5" t="n"/>
      <c r="E29" s="5" t="n"/>
      <c r="F29" s="5" t="n"/>
    </row>
    <row r="30" ht="30" customHeight="1">
      <c r="A30" s="5" t="n"/>
      <c r="B30" s="6" t="inlineStr">
        <is>
          <t>Yearly bills</t>
        </is>
      </c>
      <c r="C30" s="7" t="n"/>
      <c r="D30" s="5" t="n"/>
      <c r="E30" s="5" t="n"/>
      <c r="F30" s="5" t="n"/>
    </row>
    <row r="31" ht="22" customHeight="1">
      <c r="A31" s="5" t="n"/>
      <c r="B31" s="63" t="inlineStr">
        <is>
          <t>Annual subscriptions</t>
        </is>
      </c>
      <c r="C31" s="31" t="n"/>
      <c r="D31" s="5" t="n"/>
      <c r="E31" s="5" t="n"/>
      <c r="F31" s="5" t="n"/>
    </row>
    <row r="32" ht="22" customHeight="1">
      <c r="A32" s="5" t="n"/>
      <c r="B32" s="63" t="inlineStr">
        <is>
          <t>Memberships</t>
        </is>
      </c>
      <c r="C32" s="31" t="n"/>
      <c r="D32" s="5" t="n"/>
      <c r="E32" s="5" t="n"/>
      <c r="F32" s="5" t="n"/>
    </row>
    <row r="33" ht="22" customHeight="1">
      <c r="A33" s="5" t="n"/>
      <c r="B33" s="63" t="inlineStr">
        <is>
          <t>Phone upgrade</t>
        </is>
      </c>
      <c r="C33" s="31" t="n"/>
      <c r="D33" s="5" t="n"/>
      <c r="E33" s="5" t="n"/>
      <c r="F33" s="5" t="n"/>
    </row>
    <row r="34" ht="22" customHeight="1">
      <c r="A34" s="5" t="n"/>
      <c r="B34" s="63" t="inlineStr">
        <is>
          <t>Medical deductible</t>
        </is>
      </c>
      <c r="C34" s="31" t="n"/>
      <c r="D34" s="5" t="n"/>
      <c r="E34" s="5" t="n"/>
      <c r="F34" s="5" t="n"/>
    </row>
    <row r="35" ht="22" customHeight="1">
      <c r="A35" s="5" t="n"/>
      <c r="B35" s="63" t="inlineStr">
        <is>
          <t>Tax bill or tax prep</t>
        </is>
      </c>
      <c r="C35" s="31" t="n"/>
      <c r="D35" s="5" t="n"/>
      <c r="E35" s="5" t="n"/>
      <c r="F35" s="5" t="n"/>
    </row>
    <row r="36" ht="8" customHeight="1">
      <c r="A36" s="5" t="n"/>
      <c r="B36" s="12" t="n"/>
      <c r="C36" s="13" t="n"/>
      <c r="D36" s="5" t="n"/>
      <c r="E36" s="5" t="n"/>
      <c r="F36" s="5" t="n"/>
    </row>
    <row r="37">
      <c r="A37" s="5" t="n"/>
      <c r="B37" s="5" t="n"/>
      <c r="C37" s="5" t="n"/>
      <c r="D37" s="5" t="n"/>
      <c r="E37" s="5" t="n"/>
      <c r="F37" s="5" t="n"/>
    </row>
    <row r="38" ht="30" customHeight="1">
      <c r="A38" s="5" t="n"/>
      <c r="B38" s="6" t="inlineStr">
        <is>
          <t>Fun</t>
        </is>
      </c>
      <c r="C38" s="7" t="n"/>
      <c r="D38" s="5" t="n"/>
      <c r="E38" s="5" t="n"/>
      <c r="F38" s="5" t="n"/>
    </row>
    <row r="39" ht="22" customHeight="1">
      <c r="A39" s="5" t="n"/>
      <c r="B39" s="63" t="inlineStr">
        <is>
          <t>Christmas and holidays</t>
        </is>
      </c>
      <c r="C39" s="31" t="n"/>
      <c r="D39" s="5" t="n"/>
      <c r="E39" s="5" t="n"/>
      <c r="F39" s="5" t="n"/>
    </row>
    <row r="40" ht="22" customHeight="1">
      <c r="A40" s="5" t="n"/>
      <c r="B40" s="63" t="inlineStr">
        <is>
          <t>Summer trip</t>
        </is>
      </c>
      <c r="C40" s="31" t="n"/>
      <c r="D40" s="5" t="n"/>
      <c r="E40" s="5" t="n"/>
      <c r="F40" s="5" t="n"/>
    </row>
    <row r="41" ht="22" customHeight="1">
      <c r="B41" s="64" t="inlineStr">
        <is>
          <t>Weddings and showers</t>
        </is>
      </c>
      <c r="C41" s="65" t="n"/>
    </row>
    <row r="42" ht="22" customHeight="1">
      <c r="B42" s="64" t="inlineStr">
        <is>
          <t>Concerts and events</t>
        </is>
      </c>
      <c r="C42" s="65" t="n"/>
    </row>
    <row r="43" ht="22" customHeight="1">
      <c r="B43" s="64" t="inlineStr">
        <is>
          <t>Hobbies</t>
        </is>
      </c>
      <c r="C43" s="65" t="n"/>
    </row>
    <row r="44" ht="8" customHeight="1">
      <c r="B44" s="66" t="n"/>
      <c r="C44" s="67" t="n"/>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2026-10-26T19:20:42Z</dcterms:created>
  <dcterms:modified xmlns:dcterms="http://purl.org/dc/terms/" xmlns:xsi="http://www.w3.org/2001/XMLSchema-instance" xsi:type="dcterms:W3CDTF">2026-10-26T19:20:42Z</dcterms:modified>
</cp:coreProperties>
</file>